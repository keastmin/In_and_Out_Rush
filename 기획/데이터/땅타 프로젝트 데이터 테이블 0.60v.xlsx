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tables/table16.xml" ContentType="application/vnd.openxmlformats-officedocument.spreadsheetml.table+xml"/>
  <Override PartName="/xl/worksheets/sheet11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2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3.xml" ContentType="application/vnd.openxmlformats-officedocument.spreadsheetml.worksheet+xml"/>
  <Override PartName="/xl/tables/table22.xml" ContentType="application/vnd.openxmlformats-officedocument.spreadsheetml.table+xml"/>
  <Override PartName="/xl/worksheets/sheet14.xml" ContentType="application/vnd.openxmlformats-officedocument.spreadsheetml.worksheet+xml"/>
  <Override PartName="/xl/tables/table2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Runner" sheetId="3" state="visible" r:id="rId3"/>
    <sheet xmlns:r="http://schemas.openxmlformats.org/officeDocument/2006/relationships" name="Economy" sheetId="4" state="visible" r:id="rId4"/>
    <sheet xmlns:r="http://schemas.openxmlformats.org/officeDocument/2006/relationships" name="Tower" sheetId="5" state="visible" r:id="rId5"/>
    <sheet xmlns:r="http://schemas.openxmlformats.org/officeDocument/2006/relationships" name="Attribute" sheetId="6" state="visible" r:id="rId6"/>
    <sheet xmlns:r="http://schemas.openxmlformats.org/officeDocument/2006/relationships" name="Item" sheetId="7" state="visible" r:id="rId7"/>
    <sheet xmlns:r="http://schemas.openxmlformats.org/officeDocument/2006/relationships" name="Skill" sheetId="8" state="visible" r:id="rId8"/>
    <sheet xmlns:r="http://schemas.openxmlformats.org/officeDocument/2006/relationships" name="Weapon" sheetId="9" state="visible" r:id="rId9"/>
    <sheet xmlns:r="http://schemas.openxmlformats.org/officeDocument/2006/relationships" name="Monster" sheetId="10" state="visible" r:id="rId10"/>
    <sheet xmlns:r="http://schemas.openxmlformats.org/officeDocument/2006/relationships" name="Wave" sheetId="11" state="visible" r:id="rId11"/>
    <sheet xmlns:r="http://schemas.openxmlformats.org/officeDocument/2006/relationships" name="Map" sheetId="12" state="visible" r:id="rId12"/>
    <sheet xmlns:r="http://schemas.openxmlformats.org/officeDocument/2006/relationships" name="Artifact" sheetId="13" state="visible" r:id="rId13"/>
    <sheet xmlns:r="http://schemas.openxmlformats.org/officeDocument/2006/relationships" name="Validation" sheetId="14" state="visible" r:id="rId14"/>
    <sheet xmlns:r="http://schemas.openxmlformats.org/officeDocument/2006/relationships" name="Hazard" sheetId="15" state="visible" r:id="rId15"/>
    <sheet xmlns:r="http://schemas.openxmlformats.org/officeDocument/2006/relationships" name="MonsterPattern" sheetId="16" state="visible" r:id="rId16"/>
    <sheet xmlns:r="http://schemas.openxmlformats.org/officeDocument/2006/relationships" name="ChangeLog" sheetId="17" state="visible" r:id="rId17"/>
  </sheets>
  <definedNames>
    <definedName name="_xlnm._FilterDatabase" localSheetId="0" hidden="1">'README'!$A$4:$G$20</definedName>
    <definedName name="_xlnm._FilterDatabase" localSheetId="1" hidden="1">'Global'!$A$4:$H$20</definedName>
    <definedName name="_xlnm._FilterDatabase" localSheetId="2" hidden="1">'Runner'!$A$4:$J$27</definedName>
    <definedName name="_xlnm._FilterDatabase" localSheetId="3" hidden="1">'Economy'!$A$4:$K$34</definedName>
    <definedName name="_xlnm._FilterDatabase" localSheetId="4" hidden="1">'Tower'!$A$4:$P$31</definedName>
    <definedName name="_xlnm._FilterDatabase" localSheetId="5" hidden="1">'Attribute'!$A$4:$J$18</definedName>
    <definedName name="_xlnm._FilterDatabase" localSheetId="6" hidden="1">'Item'!$A$4:$M$9</definedName>
    <definedName name="_xlnm._FilterDatabase" localSheetId="7" hidden="1">'Skill'!$A$4:$J$7</definedName>
    <definedName name="_xlnm._FilterDatabase" localSheetId="8" hidden="1">'Weapon'!$A$4:$N$9</definedName>
    <definedName name="_xlnm._FilterDatabase" localSheetId="9" hidden="1">'Monster'!$A$4:$O$12</definedName>
    <definedName name="_xlnm._FilterDatabase" localSheetId="10" hidden="1">'Wave'!$A$4:$J$73</definedName>
    <definedName name="_xlnm._FilterDatabase" localSheetId="11" hidden="1">'Map'!$A$4:$L$24</definedName>
    <definedName name="_xlnm._FilterDatabase" localSheetId="12" hidden="1">'Artifact'!$A$4:$L$14</definedName>
    <definedName name="_xlnm._FilterDatabase" localSheetId="13" hidden="1">'Validation'!$A$4:$F$10</definedName>
    <definedName name="_xlnm._FilterDatabase" localSheetId="14" hidden="1">'Hazard'!$A$4:$I$14</definedName>
    <definedName name="_xlnm._FilterDatabase" localSheetId="15" hidden="1">'MonsterPattern'!$A$4:$H$13</definedName>
    <definedName name="_xlnm._FilterDatabase" localSheetId="16" hidden="1">'ChangeLog'!$A$4:$E$16</definedName>
  </definedNames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0.0"/>
    <numFmt numFmtId="167" formatCode="0.##"/>
    <numFmt numFmtId="168" formatCode="0.0#"/>
    <numFmt numFmtId="169" formatCode="0.00x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1F2933"/>
      <sz val="10"/>
    </font>
    <font>
      <name val="Aptos"/>
      <color rgb="FF1F2933"/>
      <sz val="9"/>
    </font>
    <font>
      <name val="Aptos"/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174A5B"/>
      </patternFill>
    </fill>
    <fill>
      <patternFill patternType="solid">
        <fgColor rgb="FFDFF3F8"/>
      </patternFill>
    </fill>
    <fill>
      <patternFill patternType="solid">
        <fgColor rgb="FF0B7896"/>
      </patternFill>
    </fill>
    <fill>
      <patternFill patternType="solid">
        <fgColor rgb="FFE8752E"/>
      </patternFill>
    </fill>
    <fill>
      <patternFill patternType="solid">
        <fgColor rgb="FF3A8D5D"/>
      </patternFill>
    </fill>
  </fills>
  <borders count="3">
    <border/>
    <border>
      <bottom style="thin">
        <color rgb="FFC7D0D5"/>
      </bottom>
    </border>
    <border>
      <top style="thin">
        <color rgb="FFC7D0D5"/>
      </top>
      <bottom style="thin">
        <color rgb="FFC7D0D5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5" fontId="3" fillId="0" borderId="2" applyAlignment="1" pivotButton="0" quotePrefix="0" xfId="0">
      <alignment vertical="center" wrapText="1"/>
    </xf>
    <xf numFmtId="166" fontId="3" fillId="0" borderId="2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3" fontId="3" fillId="0" borderId="2" applyAlignment="1" pivotButton="0" quotePrefix="0" xfId="0">
      <alignment vertical="center" wrapText="1"/>
    </xf>
    <xf numFmtId="167" fontId="3" fillId="0" borderId="2" applyAlignment="1" pivotButton="0" quotePrefix="0" xfId="0">
      <alignment vertical="center" wrapText="1"/>
    </xf>
    <xf numFmtId="168" fontId="3" fillId="0" borderId="2" applyAlignment="1" pivotButton="0" quotePrefix="0" xfId="0">
      <alignment vertical="center" wrapText="1"/>
    </xf>
    <xf numFmtId="169" fontId="3" fillId="0" borderId="2" applyAlignment="1" pivotButton="0" quotePrefix="0" xfId="0">
      <alignment vertical="center" wrapText="1"/>
    </xf>
    <xf numFmtId="1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5" fontId="3" fillId="0" borderId="2" applyAlignment="1" pivotButton="0" quotePrefix="0" xfId="0">
      <alignment vertical="center" wrapText="1"/>
    </xf>
    <xf numFmtId="166" fontId="3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vertical="center" wrapText="1"/>
    </xf>
    <xf numFmtId="167" fontId="3" fillId="0" borderId="2" applyAlignment="1" pivotButton="0" quotePrefix="0" xfId="0">
      <alignment vertical="center" wrapText="1"/>
    </xf>
    <xf numFmtId="168" fontId="3" fillId="0" borderId="2" applyAlignment="1" pivotButton="0" quotePrefix="0" xfId="0">
      <alignment vertical="center" wrapText="1"/>
    </xf>
    <xf numFmtId="164" fontId="0" fillId="0" borderId="0" pivotButton="0" quotePrefix="0" xfId="0"/>
    <xf numFmtId="169" fontId="3" fillId="0" borderId="2" applyAlignment="1" pivotButton="0" quotePrefix="0" xfId="0">
      <alignment vertical="center" wrapText="1"/>
    </xf>
  </cellXfs>
  <cellStyles count="1">
    <cellStyle name="Normal" xfId="0"/>
  </cellStyles>
  <dxfs count="102"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  <dxf>
      <font>
        <color rgb="FF5B6570"/>
      </font>
      <fill>
        <patternFill patternType="solid">
          <bgColor rgb="FFEEF1F3"/>
        </patternFill>
      </fill>
    </dxf>
    <dxf>
      <font>
        <i val="1"/>
        <color rgb="FF5B6570"/>
      </font>
      <fill>
        <patternFill patternType="solid">
          <bgColor rgb="FFEEF1F3"/>
        </patternFill>
      </fill>
    </dxf>
    <dxf>
      <font>
        <b val="1"/>
        <color rgb="FF3A8D5D"/>
      </font>
      <fill>
        <patternFill patternType="solid">
          <bgColor rgb="FFE5F4EA"/>
        </patternFill>
      </fill>
    </dxf>
    <dxf>
      <font>
        <b val="1"/>
        <color rgb="FFA61B1B"/>
      </font>
      <fill>
        <patternFill patternType="solid">
          <bgColor rgb="FFFCE4E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tc={C1E9FE34-48C8-6CA0-CF6F-D32EA3C54EE4}</author>
  </authors>
  <commentList>
    <comment ref="D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최초 플레이 테스트용 임시 생성량입니다. 총량과 실제 소비 속도를 비교해 조정합니다.</t>
      </text>
    </comment>
  </commentList>
</comments>
</file>

<file path=xl/tables/table1.xml><?xml version="1.0" encoding="utf-8"?>
<table xmlns="http://schemas.openxmlformats.org/spreadsheetml/2006/main" id="1" name="SheetGuideTable" displayName="SheetGuideTable" ref="A4:E17" headerRowCount="1" totalsRowCount="0" totalsRowShown="0">
  <autoFilter ref="A4:E17"/>
  <tableColumns count="5">
    <tableColumn id="1" name="시트"/>
    <tableColumn id="2" name="데이터 역할"/>
    <tableColumn id="3" name="기준 Markdown"/>
    <tableColumn id="4" name="주요 수정 대상"/>
    <tableColumn id="5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usGuideTable" displayName="StatusGuideTable" ref="A20:C25" headerRowCount="1" totalsRowCount="0" totalsRowShown="0">
  <autoFilter ref="A20:C25"/>
  <tableColumns count="3">
    <tableColumn id="1" name="상태"/>
    <tableColumn id="2" name="의미"/>
    <tableColumn id="3" name="사용 기준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GlobalDataTable" displayName="GlobalDataTable" ref="A4:H16" headerRowCount="1" totalsRowCount="0" totalsRowShown="0">
  <autoFilter ref="A4:H16"/>
  <tableColumns count="8">
    <tableColumn id="1" name="ID"/>
    <tableColumn id="2" name="범주"/>
    <tableColumn id="3" name="데이터 키"/>
    <tableColumn id="4" name="값"/>
    <tableColumn id="5" name="단위"/>
    <tableColumn id="6" name="상태"/>
    <tableColumn id="7" name="기준 문서"/>
    <tableColumn id="8" name="설명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nerControlTable" displayName="RunnerControlTable" ref="A4:J14" headerRowCount="1" totalsRowCount="0" totalsRowShown="0">
  <autoFilter ref="A4:J14"/>
  <tableColumns count="10">
    <tableColumn id="1" name="ID"/>
    <tableColumn id="2" name="행동"/>
    <tableColumn id="3" name="입력"/>
    <tableColumn id="4" name="기본값"/>
    <tableColumn id="5" name="단위"/>
    <tableColumn id="6" name="보조값"/>
    <tableColumn id="7" name="보조 단위"/>
    <tableColumn id="8" name="상태"/>
    <tableColumn id="9" name="기준 문서"/>
    <tableColumn id="10" name="메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nnerStatTable" displayName="RunnerStatTable" ref="A18:J24" headerRowCount="1" totalsRowCount="0" totalsRowShown="0">
  <autoFilter ref="A18:J24"/>
  <tableColumns count="10">
    <tableColumn id="1" name="ID"/>
    <tableColumn id="2" name="능력치"/>
    <tableColumn id="3" name="기본값"/>
    <tableColumn id="4" name="성장 최대"/>
    <tableColumn id="5" name="특수값 1"/>
    <tableColumn id="6" name="특수값 2"/>
    <tableColumn id="7" name="단위"/>
    <tableColumn id="8" name="상태"/>
    <tableColumn id="9" name="기준 문서"/>
    <tableColumn id="10" name="메모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ResourceGenerationTable" displayName="ResourceGenerationTable" ref="A4:K6" headerRowCount="1" totalsRowCount="0" totalsRowShown="0">
  <autoFilter ref="A4:K6"/>
  <tableColumns count="11">
    <tableColumn id="1" name="ID"/>
    <tableColumn id="2" name="자원"/>
    <tableColumn id="3" name="소형 값"/>
    <tableColumn id="4" name="소형 개수"/>
    <tableColumn id="5" name="중형 값"/>
    <tableColumn id="6" name="중형 개수"/>
    <tableColumn id="7" name="대형 값"/>
    <tableColumn id="8" name="대형 개수"/>
    <tableColumn id="9" name="총 획득량"/>
    <tableColumn id="10" name="상태"/>
    <tableColumn id="11" name="메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pgradeTable" displayName="UpgradeTable" ref="A9:K23" headerRowCount="1" totalsRowCount="0" totalsRowShown="0">
  <autoFilter ref="A9:K23"/>
  <tableColumns count="11">
    <tableColumn id="1" name="ID"/>
    <tableColumn id="2" name="대상"/>
    <tableColumn id="3" name="업그레이드"/>
    <tableColumn id="4" name="회당 증가"/>
    <tableColumn id="5" name="단위"/>
    <tableColumn id="6" name="기본 비용"/>
    <tableColumn id="7" name="단계 증가 비용"/>
    <tableColumn id="8" name="재화"/>
    <tableColumn id="9" name="최대 회수"/>
    <tableColumn id="10" name="상태"/>
    <tableColumn id="11" name="메모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okenShopTable" displayName="TokenShopTable" ref="A27:K32" headerRowCount="1" totalsRowCount="0" totalsRowShown="0">
  <autoFilter ref="A27:K32"/>
  <tableColumns count="11">
    <tableColumn id="1" name="ID"/>
    <tableColumn id="2" name="상품"/>
    <tableColumn id="3" name="분류"/>
    <tableColumn id="4" name="토큰 가격"/>
    <tableColumn id="5" name="구매 시작(초)"/>
    <tableColumn id="6" name="판당 제한"/>
    <tableColumn id="7" name="수치 1"/>
    <tableColumn id="8" name="단위"/>
    <tableColumn id="9" name="상태"/>
    <tableColumn id="10" name="기준 문서"/>
    <tableColumn id="11" name="메모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TowerDataTable" displayName="TowerDataTable" ref="A4:O18" headerRowCount="1" totalsRowCount="0" totalsRowShown="0">
  <autoFilter ref="A4:O18"/>
  <tableColumns count="15">
    <tableColumn id="1" name="ID"/>
    <tableColumn id="2" name="분류"/>
    <tableColumn id="3" name="타워"/>
    <tableColumn id="4" name="광물"/>
    <tableColumn id="5" name="가스"/>
    <tableColumn id="6" name="최대 수"/>
    <tableColumn id="7" name="공격 간격"/>
    <tableColumn id="8" name="투사체 속도"/>
    <tableColumn id="9" name="판정"/>
    <tableColumn id="10" name="사거리 순위"/>
    <tableColumn id="11" name="범위"/>
    <tableColumn id="12" name="재사용 1"/>
    <tableColumn id="13" name="재사용 2"/>
    <tableColumn id="14" name="재사용 3"/>
    <tableColumn id="15" name="상태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owerEffectValueTable" displayName="TowerEffectValueTable" ref="A22:J31" headerRowCount="1" totalsRowCount="0" totalsRowShown="0">
  <autoFilter ref="A22:J31"/>
  <tableColumns count="10">
    <tableColumn id="1" name="ID"/>
    <tableColumn id="2" name="타워"/>
    <tableColumn id="3" name="효과"/>
    <tableColumn id="4" name="값"/>
    <tableColumn id="5" name="단위"/>
    <tableColumn id="6" name="보조값"/>
    <tableColumn id="7" name="보조 단위"/>
    <tableColumn id="8" name="상태"/>
    <tableColumn id="9" name="기준 문서"/>
    <tableColumn id="10" name="메모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AttributeProbabilityTable" displayName="AttributeProbabilityTable" ref="A4:J7" headerRowCount="1" totalsRowCount="0" totalsRowShown="0">
  <autoFilter ref="A4:J7"/>
  <tableColumns count="10">
    <tableColumn id="1" name="ID"/>
    <tableColumn id="2" name="대상"/>
    <tableColumn id="3" name="조건"/>
    <tableColumn id="4" name="화염"/>
    <tableColumn id="5" name="전격"/>
    <tableColumn id="6" name="생화학"/>
    <tableColumn id="7" name="빙결"/>
    <tableColumn id="8" name="합계"/>
    <tableColumn id="9" name="상태"/>
    <tableColumn id="10" name="메모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ttributeRuleTable" displayName="AttributeRuleTable" ref="A11:H16" headerRowCount="1" totalsRowCount="0" totalsRowShown="0">
  <autoFilter ref="A11:H16"/>
  <tableColumns count="8">
    <tableColumn id="1" name="ID"/>
    <tableColumn id="2" name="규칙"/>
    <tableColumn id="3" name="값"/>
    <tableColumn id="4" name="단위"/>
    <tableColumn id="5" name="적용 대상"/>
    <tableColumn id="6" name="상태"/>
    <tableColumn id="7" name="기준 문서"/>
    <tableColumn id="8" name="메모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ItemDataTable" displayName="ItemDataTable" ref="A4:M9" headerRowCount="1" totalsRowCount="0" totalsRowShown="0">
  <autoFilter ref="A4:M9"/>
  <tableColumns count="13">
    <tableColumn id="1" name="ID"/>
    <tableColumn id="2" name="아이템"/>
    <tableColumn id="3" name="광물"/>
    <tableColumn id="4" name="가스"/>
    <tableColumn id="5" name="지속시간"/>
    <tableColumn id="6" name="최대 소지"/>
    <tableColumn id="7" name="해금 조건"/>
    <tableColumn id="8" name="범위"/>
    <tableColumn id="9" name="피해 수치"/>
    <tableColumn id="10" name="효과 주기"/>
    <tableColumn id="11" name="주파력 상한 제거"/>
    <tableColumn id="12" name="상태"/>
    <tableColumn id="13" name="메모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killDataTable" displayName="SkillDataTable" ref="A4:J7" headerRowCount="1" totalsRowCount="0" totalsRowShown="0">
  <autoFilter ref="A4:J7"/>
  <tableColumns count="10">
    <tableColumn id="1" name="ID"/>
    <tableColumn id="2" name="스킬"/>
    <tableColumn id="3" name="기력 비용"/>
    <tableColumn id="4" name="지속시간"/>
    <tableColumn id="5" name="재사용"/>
    <tableColumn id="6" name="무적"/>
    <tableColumn id="7" name="사선 무적"/>
    <tableColumn id="8" name="공격·장전 증가"/>
    <tableColumn id="9" name="상태"/>
    <tableColumn id="10" name="메모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WeaponDataTable" displayName="WeaponDataTable" ref="A4:N9" headerRowCount="1" totalsRowCount="0" totalsRowShown="0">
  <autoFilter ref="A4:N9"/>
  <tableColumns count="14">
    <tableColumn id="1" name="ID"/>
    <tableColumn id="2" name="무기"/>
    <tableColumn id="3" name="광물"/>
    <tableColumn id="4" name="가스"/>
    <tableColumn id="5" name="기본 피해"/>
    <tableColumn id="6" name="발사 간격"/>
    <tableColumn id="7" name="탄창"/>
    <tableColumn id="8" name="장전시간"/>
    <tableColumn id="9" name="사거리"/>
    <tableColumn id="10" name="탄속"/>
    <tableColumn id="11" name="특수 기능 수치"/>
    <tableColumn id="12" name="최대 소지"/>
    <tableColumn id="13" name="상태"/>
    <tableColumn id="14" name="기준 문서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id="16" name="MonsterDataTable" displayName="MonsterDataTable" ref="A4:O12" headerRowCount="1" totalsRowCount="0" totalsRowShown="0">
  <autoFilter ref="A4:O12"/>
  <tableColumns count="15">
    <tableColumn id="1" name="ID"/>
    <tableColumn id="2" name="구역"/>
    <tableColumn id="3" name="몬스터"/>
    <tableColumn id="4" name="등급"/>
    <tableColumn id="5" name="체력"/>
    <tableColumn id="6" name="접촉 피해"/>
    <tableColumn id="7" name="이동속도 배수"/>
    <tableColumn id="8" name="투사체 피해"/>
    <tableColumn id="9" name="투사체 속도"/>
    <tableColumn id="10" name="발사 간격"/>
    <tableColumn id="11" name="실패 피해"/>
    <tableColumn id="12" name="실패 피해 단위"/>
    <tableColumn id="13" name="토큰 확률"/>
    <tableColumn id="14" name="상태"/>
    <tableColumn id="15" name="메모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WaveSpawnTable" displayName="WaveSpawnTable" ref="A4:J64" headerRowCount="1" totalsRowCount="0" totalsRowShown="0">
  <autoFilter ref="A4:J64"/>
  <tableColumns count="10">
    <tableColumn id="1" name="이벤트 ID"/>
    <tableColumn id="2" name="웨이브"/>
    <tableColumn id="3" name="웨이브 시작"/>
    <tableColumn id="4" name="내부 시각"/>
    <tableColumn id="5" name="절대 시각"/>
    <tableColumn id="6" name="등급"/>
    <tableColumn id="7" name="수량"/>
    <tableColumn id="8" name="상태"/>
    <tableColumn id="9" name="메모"/>
    <tableColumn id="10" name="기준 문서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WaveMilestoneTable" displayName="WaveMilestoneTable" ref="A67:G73" headerRowCount="1" totalsRowCount="0" totalsRowShown="0">
  <autoFilter ref="A67:G73"/>
  <tableColumns count="7">
    <tableColumn id="1" name="ID"/>
    <tableColumn id="2" name="절대 시각"/>
    <tableColumn id="3" name="분류"/>
    <tableColumn id="4" name="단계"/>
    <tableColumn id="5" name="변화"/>
    <tableColumn id="6" name="상태"/>
    <tableColumn id="7" name="기준 문서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MapStagePlacementTable" displayName="MapStagePlacementTable" ref="A4:L7" headerRowCount="1" totalsRowCount="0" totalsRowShown="0">
  <autoFilter ref="A4:L7"/>
  <tableColumns count="12">
    <tableColumn id="1" name="ID"/>
    <tableColumn id="2" name="스테이지"/>
    <tableColumn id="3" name="테마"/>
    <tableColumn id="4" name="자연 지형"/>
    <tableColumn id="5" name="벌레지옥"/>
    <tableColumn id="6" name="관문 후보"/>
    <tableColumn id="7" name="성소 최소"/>
    <tableColumn id="8" name="성소 최대"/>
    <tableColumn id="9" name="섹터 형태"/>
    <tableColumn id="10" name="섹터 수"/>
    <tableColumn id="11" name="상태"/>
    <tableColumn id="12" name="메모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MapPlacementRuleTable" displayName="MapPlacementRuleTable" ref="A11:H16" headerRowCount="1" totalsRowCount="0" totalsRowShown="0">
  <autoFilter ref="A11:H16"/>
  <tableColumns count="8">
    <tableColumn id="1" name="ID"/>
    <tableColumn id="2" name="대상"/>
    <tableColumn id="3" name="기준 대상"/>
    <tableColumn id="4" name="최소 거리"/>
    <tableColumn id="5" name="단위"/>
    <tableColumn id="6" name="상태"/>
    <tableColumn id="7" name="기준 문서"/>
    <tableColumn id="8" name="메모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SanctuaryDataTable" displayName="SanctuaryDataTable" ref="A20:I24" headerRowCount="1" totalsRowCount="0" totalsRowShown="0">
  <autoFilter ref="A20:I24"/>
  <tableColumns count="9">
    <tableColumn id="1" name="ID"/>
    <tableColumn id="2" name="성소"/>
    <tableColumn id="3" name="즉시 수치"/>
    <tableColumn id="4" name="단위"/>
    <tableColumn id="5" name="지속시간"/>
    <tableColumn id="6" name="최대 이용"/>
    <tableColumn id="7" name="상태"/>
    <tableColumn id="8" name="기준 문서"/>
    <tableColumn id="9" name="메모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22" name="ArtifactDataTable" displayName="ArtifactDataTable" ref="A4:L14" headerRowCount="1" totalsRowCount="0" totalsRowShown="0">
  <autoFilter ref="A4:L14"/>
  <tableColumns count="12">
    <tableColumn id="1" name="ID"/>
    <tableColumn id="2" name="유물"/>
    <tableColumn id="3" name="수치 1"/>
    <tableColumn id="4" name="단위 1"/>
    <tableColumn id="5" name="수치 2"/>
    <tableColumn id="6" name="단위 2"/>
    <tableColumn id="7" name="범위"/>
    <tableColumn id="8" name="중복"/>
    <tableColumn id="9" name="토큰 제한"/>
    <tableColumn id="10" name="상태"/>
    <tableColumn id="11" name="기준 문서"/>
    <tableColumn id="12" name="메모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ValidationTable" displayName="ValidationTable" ref="A4:F10" headerRowCount="1" totalsRowCount="0" totalsRowShown="0">
  <autoFilter ref="A4:F10"/>
  <tableColumns count="6">
    <tableColumn id="1" name="검사 ID"/>
    <tableColumn id="2" name="검사 항목"/>
    <tableColumn id="3" name="현재값"/>
    <tableColumn id="4" name="목표/기준"/>
    <tableColumn id="5" name="결과"/>
    <tableColumn id="6" name="설명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table" Target="/xl/tables/table20.xml" Id="rId2"/><Relationship Type="http://schemas.openxmlformats.org/officeDocument/2006/relationships/table" Target="/xl/tables/table21.xml" Id="rId3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3" customWidth="1" style="15" min="2" max="2"/>
    <col width="13" customWidth="1" style="15" min="3" max="3"/>
    <col width="20" customWidth="1" style="15" min="4" max="4"/>
    <col width="13" customWidth="1" style="15" min="5" max="5"/>
    <col width="22" customWidth="1" style="15" min="6" max="6"/>
    <col width="10" customWidth="1" style="15" min="7" max="7"/>
  </cols>
  <sheetData>
    <row r="1" ht="19.20000076293945" customHeight="1" s="15">
      <c r="A1" t="inlineStr">
        <is>
          <t>땅타 프로젝트 데이터 테이블 0.60v</t>
        </is>
      </c>
      <c r="B1" t="inlineStr"/>
      <c r="C1" t="inlineStr"/>
      <c r="D1" t="inlineStr"/>
      <c r="E1" t="inlineStr"/>
      <c r="F1" t="inlineStr"/>
      <c r="G1" t="inlineStr"/>
    </row>
    <row r="2" ht="15" customHeight="1" s="15">
      <c r="A2" t="inlineStr">
        <is>
          <t>기능 설명과 예외는 Markdown 기획서를 기준으로 하고, 이 파일은 표로 조정 가능한 데이터의 원본입니다.</t>
        </is>
      </c>
      <c r="B2" t="inlineStr"/>
      <c r="C2" t="inlineStr"/>
      <c r="D2" t="inlineStr"/>
      <c r="E2" t="inlineStr"/>
      <c r="F2" t="inlineStr"/>
      <c r="G2" t="inlineStr"/>
    </row>
    <row r="3"/>
    <row r="4" ht="15" customHeight="1" s="15">
      <c r="A4" t="inlineStr">
        <is>
          <t>시트</t>
        </is>
      </c>
      <c r="B4" t="inlineStr">
        <is>
          <t>데이터 역할</t>
        </is>
      </c>
      <c r="C4" t="inlineStr">
        <is>
          <t>기준 Markdown</t>
        </is>
      </c>
      <c r="D4" t="inlineStr">
        <is>
          <t>주요 수정 대상</t>
        </is>
      </c>
      <c r="E4" t="inlineStr">
        <is>
          <t>상태</t>
        </is>
      </c>
      <c r="F4" t="inlineStr">
        <is>
          <t>비고</t>
        </is>
      </c>
    </row>
    <row r="5" ht="15" customHeight="1" s="15">
      <c r="A5" t="inlineStr">
        <is>
          <t>Global</t>
        </is>
      </c>
      <c r="B5" t="inlineStr">
        <is>
          <t>판 전체 공통값</t>
        </is>
      </c>
      <c r="C5" t="inlineStr">
        <is>
          <t>00 / 01</t>
        </is>
      </c>
      <c r="D5" t="inlineStr">
        <is>
          <t>시간, 인원, 할당량, 해금 기준</t>
        </is>
      </c>
      <c r="E5" t="inlineStr">
        <is>
          <t>확정/임시</t>
        </is>
      </c>
      <c r="F5" t="inlineStr">
        <is>
          <t>공통 원본</t>
        </is>
      </c>
    </row>
    <row r="6" ht="15" customHeight="1" s="15">
      <c r="A6" t="inlineStr">
        <is>
          <t>Runner</t>
        </is>
      </c>
      <c r="B6" t="inlineStr">
        <is>
          <t>러너 조작·능력치</t>
        </is>
      </c>
      <c r="C6" t="inlineStr">
        <is>
          <t>02</t>
        </is>
      </c>
      <c r="D6" t="inlineStr">
        <is>
          <t>이동, 기력, 주파력</t>
        </is>
      </c>
      <c r="E6" t="inlineStr">
        <is>
          <t>확정/추후</t>
        </is>
      </c>
      <c r="F6" t="inlineStr"/>
    </row>
    <row r="7" ht="15" customHeight="1" s="15">
      <c r="A7" t="inlineStr">
        <is>
          <t>Economy</t>
        </is>
      </c>
      <c r="B7" t="inlineStr">
        <is>
          <t>자원·업그레이드·상점</t>
        </is>
      </c>
      <c r="C7" t="inlineStr">
        <is>
          <t>09</t>
        </is>
      </c>
      <c r="D7" t="inlineStr">
        <is>
          <t>가격, 증가량, 생성량</t>
        </is>
      </c>
      <c r="E7" t="inlineStr">
        <is>
          <t>확정/임시/상정/보류</t>
        </is>
      </c>
      <c r="F7" t="inlineStr"/>
    </row>
    <row r="8" ht="15" customHeight="1" s="15">
      <c r="A8" t="inlineStr">
        <is>
          <t>Tower</t>
        </is>
      </c>
      <c r="B8" t="inlineStr">
        <is>
          <t>센터·공격·지원</t>
        </is>
      </c>
      <c r="C8" t="inlineStr">
        <is>
          <t>08</t>
        </is>
      </c>
      <c r="D8" t="inlineStr">
        <is>
          <t>가격, 공격 간격, 재사용, 제한</t>
        </is>
      </c>
      <c r="E8" t="inlineStr">
        <is>
          <t>확정/추후</t>
        </is>
      </c>
      <c r="F8" t="inlineStr"/>
    </row>
    <row r="9" ht="15" customHeight="1" s="15">
      <c r="A9" t="inlineStr">
        <is>
          <t>Attribute</t>
        </is>
      </c>
      <c r="B9" t="inlineStr">
        <is>
          <t>속성</t>
        </is>
      </c>
      <c r="C9" t="inlineStr">
        <is>
          <t>08</t>
        </is>
      </c>
      <c r="D9" t="inlineStr">
        <is>
          <t>확률, 묶음 보너스, 속성 효과</t>
        </is>
      </c>
      <c r="E9" t="inlineStr">
        <is>
          <t>확정/추후</t>
        </is>
      </c>
      <c r="F9" t="inlineStr"/>
    </row>
    <row r="10" ht="15" customHeight="1" s="15">
      <c r="A10" t="inlineStr">
        <is>
          <t>Item</t>
        </is>
      </c>
      <c r="B10" t="inlineStr">
        <is>
          <t>소모품</t>
        </is>
      </c>
      <c r="C10" t="inlineStr">
        <is>
          <t>10</t>
        </is>
      </c>
      <c r="D10" t="inlineStr">
        <is>
          <t>가격, 지속, 최대 소지, 피해</t>
        </is>
      </c>
      <c r="E10" t="inlineStr">
        <is>
          <t>확정/추후</t>
        </is>
      </c>
      <c r="F10" t="inlineStr"/>
    </row>
    <row r="11" ht="15" customHeight="1" s="15">
      <c r="A11" t="inlineStr">
        <is>
          <t>Skill</t>
        </is>
      </c>
      <c r="B11" t="inlineStr">
        <is>
          <t>스킬</t>
        </is>
      </c>
      <c r="C11" t="inlineStr">
        <is>
          <t>11</t>
        </is>
      </c>
      <c r="D11" t="inlineStr">
        <is>
          <t>기력, 지속, 재사용</t>
        </is>
      </c>
      <c r="E11" t="inlineStr">
        <is>
          <t>확정</t>
        </is>
      </c>
      <c r="F11" t="inlineStr"/>
    </row>
    <row r="12" ht="15" customHeight="1" s="15">
      <c r="A12" t="inlineStr">
        <is>
          <t>Weapon</t>
        </is>
      </c>
      <c r="B12" t="inlineStr">
        <is>
          <t>무기</t>
        </is>
      </c>
      <c r="C12" t="inlineStr">
        <is>
          <t>12</t>
        </is>
      </c>
      <c r="D12" t="inlineStr">
        <is>
          <t>가격, 피해, 발사, 탄창 등</t>
        </is>
      </c>
      <c r="E12" t="inlineStr">
        <is>
          <t>추후 입력</t>
        </is>
      </c>
      <c r="F12" t="inlineStr"/>
    </row>
    <row r="13" ht="15" customHeight="1" s="15">
      <c r="A13" t="inlineStr">
        <is>
          <t>Monster</t>
        </is>
      </c>
      <c r="B13" t="inlineStr">
        <is>
          <t>몬스터</t>
        </is>
      </c>
      <c r="C13" t="inlineStr">
        <is>
          <t>07</t>
        </is>
      </c>
      <c r="D13" t="inlineStr">
        <is>
          <t>체력, 속도, 피해, 보상</t>
        </is>
      </c>
      <c r="E13" t="inlineStr">
        <is>
          <t>확정/추후</t>
        </is>
      </c>
      <c r="F13" t="inlineStr"/>
    </row>
    <row r="14" ht="15" customHeight="1" s="15">
      <c r="A14" t="inlineStr">
        <is>
          <t>MonsterPattern</t>
        </is>
      </c>
      <c r="B14" t="inlineStr">
        <is>
          <t>라플라시아 패턴</t>
        </is>
      </c>
      <c r="C14" t="inlineStr">
        <is>
          <t>07</t>
        </is>
      </c>
      <c r="D14" t="inlineStr">
        <is>
          <t>패턴 순서·시간</t>
        </is>
      </c>
      <c r="E14" t="inlineStr">
        <is>
          <t>확정/추후</t>
        </is>
      </c>
      <c r="F14" t="inlineStr">
        <is>
          <t>추가 기획 편입</t>
        </is>
      </c>
    </row>
    <row r="15" ht="15" customHeight="1" s="15">
      <c r="A15" t="inlineStr">
        <is>
          <t>Wave</t>
        </is>
      </c>
      <c r="B15" t="inlineStr">
        <is>
          <t>웨이브 이벤트</t>
        </is>
      </c>
      <c r="C15" t="inlineStr">
        <is>
          <t>06</t>
        </is>
      </c>
      <c r="D15" t="inlineStr">
        <is>
          <t>등장 시각, 수량, 등급</t>
        </is>
      </c>
      <c r="E15" t="inlineStr">
        <is>
          <t>확정/추후</t>
        </is>
      </c>
      <c r="F15" t="inlineStr">
        <is>
          <t>8~10 미확정</t>
        </is>
      </c>
    </row>
    <row r="16" ht="15" customHeight="1" s="15">
      <c r="A16" t="inlineStr">
        <is>
          <t>Map</t>
        </is>
      </c>
      <c r="B16" t="inlineStr">
        <is>
          <t>맵·성소</t>
        </is>
      </c>
      <c r="C16" t="inlineStr">
        <is>
          <t>05</t>
        </is>
      </c>
      <c r="D16" t="inlineStr">
        <is>
          <t>생성량, 거리, 보상</t>
        </is>
      </c>
      <c r="E16" t="inlineStr">
        <is>
          <t>확정/임시/상정</t>
        </is>
      </c>
      <c r="F16" t="inlineStr"/>
    </row>
    <row r="17" ht="15" customHeight="1" s="15">
      <c r="A17" t="inlineStr">
        <is>
          <t>Hazard</t>
        </is>
      </c>
      <c r="B17" t="inlineStr">
        <is>
          <t>벌레지옥</t>
        </is>
      </c>
      <c r="C17" t="inlineStr">
        <is>
          <t>04 / 05</t>
        </is>
      </c>
      <c r="D17" t="inlineStr">
        <is>
          <t>범위, 흡입, 폭파</t>
        </is>
      </c>
      <c r="E17" t="inlineStr">
        <is>
          <t>임시/확정</t>
        </is>
      </c>
      <c r="F17" t="inlineStr">
        <is>
          <t>추가 기획 편입</t>
        </is>
      </c>
    </row>
    <row r="18">
      <c r="A18" t="inlineStr">
        <is>
          <t>Artifact</t>
        </is>
      </c>
      <c r="B18" t="inlineStr">
        <is>
          <t>유물</t>
        </is>
      </c>
      <c r="C18" t="inlineStr">
        <is>
          <t>13</t>
        </is>
      </c>
      <c r="D18" t="inlineStr">
        <is>
          <t>효과 수치, 범위</t>
        </is>
      </c>
      <c r="E18" t="inlineStr">
        <is>
          <t>확정/상정</t>
        </is>
      </c>
      <c r="F18" t="inlineStr">
        <is>
          <t>한 판 내 동일 유물 중복 생성 불가</t>
        </is>
      </c>
    </row>
    <row r="19">
      <c r="A19" t="inlineStr">
        <is>
          <t>Validation</t>
        </is>
      </c>
      <c r="B19" t="inlineStr">
        <is>
          <t>정합성 검사</t>
        </is>
      </c>
      <c r="C19" t="inlineStr">
        <is>
          <t>20</t>
        </is>
      </c>
      <c r="D19" t="inlineStr">
        <is>
          <t>총량·확률 합계</t>
        </is>
      </c>
      <c r="E19" t="inlineStr">
        <is>
          <t>자동</t>
        </is>
      </c>
      <c r="F19" t="inlineStr">
        <is>
          <t>직접 수정 금지</t>
        </is>
      </c>
    </row>
    <row r="20" ht="15" customHeight="1" s="15">
      <c r="A20" t="inlineStr">
        <is>
          <t>ChangeLog</t>
        </is>
      </c>
      <c r="B20" t="inlineStr">
        <is>
          <t>변경 이력</t>
        </is>
      </c>
      <c r="C20" t="inlineStr">
        <is>
          <t>README</t>
        </is>
      </c>
      <c r="D20" t="inlineStr">
        <is>
          <t>질문·추가 기획 반영</t>
        </is>
      </c>
      <c r="E20" t="inlineStr">
        <is>
          <t>기록</t>
        </is>
      </c>
      <c r="F20" t="inlineStr"/>
    </row>
    <row r="21" ht="15" customHeight="1" s="15"/>
    <row r="22" ht="15" customHeight="1" s="15"/>
    <row r="23" ht="15" customHeight="1" s="15"/>
    <row r="24" ht="15" customHeight="1" s="15"/>
    <row r="25" ht="15" customHeight="1" s="15"/>
  </sheetData>
  <autoFilter ref="A4:G20"/>
  <mergeCells count="2">
    <mergeCell ref="A2:G2"/>
    <mergeCell ref="A1:G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0" customWidth="1" style="15" min="2" max="2"/>
    <col width="17" customWidth="1" style="15" min="3" max="3"/>
    <col width="10" customWidth="1" style="15" min="4" max="4"/>
    <col width="10" customWidth="1" style="15" min="5" max="5"/>
    <col width="10" customWidth="1" style="15" min="6" max="6"/>
    <col width="19" customWidth="1" style="15" min="7" max="7"/>
    <col width="22" customWidth="1" style="15" min="8" max="8"/>
  </cols>
  <sheetData>
    <row r="1" ht="19.20000076293945" customHeight="1" s="15">
      <c r="A1" s="3" t="inlineStr">
        <is>
          <t>Global — 공통 게임 데이터</t>
        </is>
      </c>
    </row>
    <row r="2" ht="15" customHeight="1" s="15">
      <c r="A2" s="7" t="inlineStr">
        <is>
          <t>여러 기능에서 함께 사용하는 판 전체의 단일 기준값입니다. 같은 값을 다른 시트에 중복 입력하지 않습니다.</t>
        </is>
      </c>
    </row>
    <row r="3"/>
    <row r="4" ht="15" customHeight="1" s="15">
      <c r="A4" s="14" t="inlineStr">
        <is>
          <t>ID</t>
        </is>
      </c>
      <c r="B4" s="14" t="inlineStr">
        <is>
          <t>범주</t>
        </is>
      </c>
      <c r="C4" s="14" t="inlineStr">
        <is>
          <t>데이터 키</t>
        </is>
      </c>
      <c r="D4" s="14" t="inlineStr">
        <is>
          <t>값</t>
        </is>
      </c>
      <c r="E4" s="14" t="inlineStr">
        <is>
          <t>단위</t>
        </is>
      </c>
      <c r="F4" s="14" t="inlineStr">
        <is>
          <t>상태</t>
        </is>
      </c>
      <c r="G4" s="14" t="inlineStr">
        <is>
          <t>기준 문서</t>
        </is>
      </c>
      <c r="H4" s="14" t="inlineStr">
        <is>
          <t>설명</t>
        </is>
      </c>
    </row>
    <row r="5" ht="15" customHeight="1" s="15">
      <c r="A5" s="19" t="inlineStr">
        <is>
          <t>GL001</t>
        </is>
      </c>
      <c r="B5" s="19" t="inlineStr">
        <is>
          <t>세션</t>
        </is>
      </c>
      <c r="C5" s="19" t="inlineStr">
        <is>
          <t>총 플레이어 수</t>
        </is>
      </c>
      <c r="D5" s="32" t="n">
        <v>2</v>
      </c>
      <c r="E5" s="19" t="inlineStr">
        <is>
          <t>명</t>
        </is>
      </c>
      <c r="F5" s="19" t="inlineStr">
        <is>
          <t>확정</t>
        </is>
      </c>
      <c r="G5" s="19" t="inlineStr">
        <is>
          <t>00 핵심 기획</t>
        </is>
      </c>
      <c r="H5" s="19" t="inlineStr">
        <is>
          <t>러너 1명, 빌더 1명</t>
        </is>
      </c>
    </row>
    <row r="6" ht="15" customHeight="1" s="15">
      <c r="A6" s="19" t="inlineStr">
        <is>
          <t>GL002</t>
        </is>
      </c>
      <c r="B6" s="19" t="inlineStr">
        <is>
          <t>웨이브</t>
        </is>
      </c>
      <c r="C6" s="19" t="inlineStr">
        <is>
          <t>전투 시간</t>
        </is>
      </c>
      <c r="D6" s="32" t="n">
        <v>180</v>
      </c>
      <c r="E6" s="19" t="inlineStr">
        <is>
          <t>초</t>
        </is>
      </c>
      <c r="F6" s="19" t="inlineStr">
        <is>
          <t>확정</t>
        </is>
      </c>
      <c r="G6" s="19" t="inlineStr">
        <is>
          <t>06 스테이지 및 웨이브</t>
        </is>
      </c>
      <c r="H6" s="19" t="inlineStr">
        <is>
          <t>웨이브 전투 구간</t>
        </is>
      </c>
    </row>
    <row r="7" ht="15" customHeight="1" s="15">
      <c r="A7" s="19" t="inlineStr">
        <is>
          <t>GL003</t>
        </is>
      </c>
      <c r="B7" s="19" t="inlineStr">
        <is>
          <t>웨이브</t>
        </is>
      </c>
      <c r="C7" s="19" t="inlineStr">
        <is>
          <t>정비 시간</t>
        </is>
      </c>
      <c r="D7" s="32" t="n">
        <v>30</v>
      </c>
      <c r="E7" s="19" t="inlineStr">
        <is>
          <t>초</t>
        </is>
      </c>
      <c r="F7" s="19" t="inlineStr">
        <is>
          <t>확정</t>
        </is>
      </c>
      <c r="G7" s="19" t="inlineStr">
        <is>
          <t>06 스테이지 및 웨이브</t>
        </is>
      </c>
      <c r="H7" s="19" t="inlineStr">
        <is>
          <t>타워 이전과 준비 구간</t>
        </is>
      </c>
    </row>
    <row r="8" ht="15" customHeight="1" s="15">
      <c r="A8" s="19" t="inlineStr">
        <is>
          <t>GL004</t>
        </is>
      </c>
      <c r="B8" s="19" t="inlineStr">
        <is>
          <t>트랙</t>
        </is>
      </c>
      <c r="C8" s="19" t="inlineStr">
        <is>
          <t>확장 사전 경고</t>
        </is>
      </c>
      <c r="D8" s="32" t="n">
        <v>5</v>
      </c>
      <c r="E8" s="19" t="inlineStr">
        <is>
          <t>초</t>
        </is>
      </c>
      <c r="F8" s="19" t="inlineStr">
        <is>
          <t>확정</t>
        </is>
      </c>
      <c r="G8" s="19" t="inlineStr">
        <is>
          <t>06 스테이지 및 웨이브</t>
        </is>
      </c>
      <c r="H8" s="19" t="inlineStr">
        <is>
          <t>메시지 경고</t>
        </is>
      </c>
    </row>
    <row r="9" ht="15" customHeight="1" s="15">
      <c r="A9" s="19" t="inlineStr">
        <is>
          <t>GL005</t>
        </is>
      </c>
      <c r="B9" s="19" t="inlineStr">
        <is>
          <t>승리</t>
        </is>
      </c>
      <c r="C9" s="19" t="inlineStr">
        <is>
          <t>성역 기본 할당량</t>
        </is>
      </c>
      <c r="D9" s="33" t="n">
        <v>0.1</v>
      </c>
      <c r="E9" s="19" t="inlineStr">
        <is>
          <t>비율</t>
        </is>
      </c>
      <c r="F9" s="19" t="inlineStr">
        <is>
          <t>임시</t>
        </is>
      </c>
      <c r="G9" s="19" t="inlineStr">
        <is>
          <t>01 게임 진행 / 05 맵</t>
        </is>
      </c>
      <c r="H9" s="19" t="inlineStr">
        <is>
          <t>밸런스 조정 가능, 면적 소수점 내림</t>
        </is>
      </c>
    </row>
    <row r="10" ht="15" customHeight="1" s="15">
      <c r="A10" s="19" t="inlineStr">
        <is>
          <t>GL006</t>
        </is>
      </c>
      <c r="B10" s="19" t="inlineStr">
        <is>
          <t>승리</t>
        </is>
      </c>
      <c r="C10" s="19" t="inlineStr">
        <is>
          <t>관문 생성 수</t>
        </is>
      </c>
      <c r="D10" s="32" t="n">
        <v>1</v>
      </c>
      <c r="E10" s="19" t="inlineStr">
        <is>
          <t>개</t>
        </is>
      </c>
      <c r="F10" s="19" t="inlineStr">
        <is>
          <t>확정</t>
        </is>
      </c>
      <c r="G10" s="19" t="inlineStr">
        <is>
          <t>05 맵 및 레벨 디자인</t>
        </is>
      </c>
      <c r="H10" s="19" t="inlineStr">
        <is>
          <t>게임 시작부터 존재</t>
        </is>
      </c>
    </row>
    <row r="11" ht="15" customHeight="1" s="15">
      <c r="A11" s="19" t="inlineStr">
        <is>
          <t>GL007</t>
        </is>
      </c>
      <c r="B11" s="19" t="inlineStr">
        <is>
          <t>맵</t>
        </is>
      </c>
      <c r="C11" s="19" t="inlineStr">
        <is>
          <t>관문 후보 지점</t>
        </is>
      </c>
      <c r="D11" s="32" t="n">
        <v>16</v>
      </c>
      <c r="E11" s="19" t="inlineStr">
        <is>
          <t>개</t>
        </is>
      </c>
      <c r="F11" s="19" t="inlineStr">
        <is>
          <t>확정</t>
        </is>
      </c>
      <c r="G11" s="19" t="inlineStr">
        <is>
          <t>05 맵 및 레벨 디자인</t>
        </is>
      </c>
      <c r="H11" s="19" t="inlineStr">
        <is>
          <t>후보 중 한 곳 선택</t>
        </is>
      </c>
    </row>
    <row r="12" ht="15" customHeight="1" s="15">
      <c r="A12" s="19" t="inlineStr">
        <is>
          <t>GL008</t>
        </is>
      </c>
      <c r="B12" s="19" t="inlineStr">
        <is>
          <t>유물</t>
        </is>
      </c>
      <c r="C12" s="19" t="inlineStr">
        <is>
          <t>판당 생성 수</t>
        </is>
      </c>
      <c r="D12" s="32" t="n">
        <v>2</v>
      </c>
      <c r="E12" s="19" t="inlineStr">
        <is>
          <t>개</t>
        </is>
      </c>
      <c r="F12" s="19" t="inlineStr">
        <is>
          <t>확정</t>
        </is>
      </c>
      <c r="G12" s="19" t="inlineStr">
        <is>
          <t>13 유물 기획</t>
        </is>
      </c>
      <c r="H12" s="19" t="inlineStr">
        <is>
          <t>같은 유물 중복 가능</t>
        </is>
      </c>
    </row>
    <row r="13" ht="15" customHeight="1" s="15">
      <c r="A13" s="19" t="inlineStr">
        <is>
          <t>GL009</t>
        </is>
      </c>
      <c r="B13" s="19" t="inlineStr">
        <is>
          <t>보급</t>
        </is>
      </c>
      <c r="C13" s="19" t="inlineStr">
        <is>
          <t>보급품 총 한도</t>
        </is>
      </c>
      <c r="D13" s="32" t="n">
        <v>10</v>
      </c>
      <c r="E13" s="19" t="inlineStr">
        <is>
          <t>개</t>
        </is>
      </c>
      <c r="F13" s="19" t="inlineStr">
        <is>
          <t>확정</t>
        </is>
      </c>
      <c r="G13" s="19" t="inlineStr">
        <is>
          <t>10 아이템 기획</t>
        </is>
      </c>
      <c r="H13" s="19" t="inlineStr">
        <is>
          <t>대기열과 보급 타워 합계</t>
        </is>
      </c>
    </row>
    <row r="14" ht="21.60000038146973" customHeight="1" s="15">
      <c r="A14" s="19" t="inlineStr">
        <is>
          <t>GL010</t>
        </is>
      </c>
      <c r="B14" s="19" t="inlineStr">
        <is>
          <t>반복</t>
        </is>
      </c>
      <c r="C14" s="19" t="inlineStr">
        <is>
          <t>다음 판 전체 초기화</t>
        </is>
      </c>
      <c r="D14" s="19" t="b">
        <v>1</v>
      </c>
      <c r="E14" s="19" t="inlineStr">
        <is>
          <t>논리</t>
        </is>
      </c>
      <c r="F14" s="19" t="inlineStr">
        <is>
          <t>확정</t>
        </is>
      </c>
      <c r="G14" s="19" t="inlineStr">
        <is>
          <t>01 게임 진행 / 06 웨이브</t>
        </is>
      </c>
      <c r="H14" s="19" t="inlineStr">
        <is>
          <t>자원·성장·장비·유물·토큰 초기화</t>
        </is>
      </c>
    </row>
    <row r="15" ht="15" customHeight="1" s="15">
      <c r="A15" s="19" t="inlineStr">
        <is>
          <t>GL011</t>
        </is>
      </c>
      <c r="B15" s="19" t="inlineStr">
        <is>
          <t>협동</t>
        </is>
      </c>
      <c r="C15" s="19" t="inlineStr">
        <is>
          <t>이탈 시 게임 정지</t>
        </is>
      </c>
      <c r="D15" s="19" t="b">
        <v>1</v>
      </c>
      <c r="E15" s="19" t="inlineStr">
        <is>
          <t>논리</t>
        </is>
      </c>
      <c r="F15" s="19" t="inlineStr">
        <is>
          <t>확정</t>
        </is>
      </c>
      <c r="G15" s="19" t="inlineStr">
        <is>
          <t>01 게임 진행 및 승패</t>
        </is>
      </c>
      <c r="H15" s="19" t="inlineStr">
        <is>
          <t>종료 또는 재접속 대기</t>
        </is>
      </c>
    </row>
    <row r="16" ht="15" customHeight="1" s="15">
      <c r="A16" s="19" t="inlineStr">
        <is>
          <t>GL012</t>
        </is>
      </c>
      <c r="B16" s="19" t="inlineStr">
        <is>
          <t>맵</t>
        </is>
      </c>
      <c r="C16" s="19" t="inlineStr">
        <is>
          <t>1m당 타일 수</t>
        </is>
      </c>
      <c r="D16" s="32" t="n">
        <v>1</v>
      </c>
      <c r="E16" s="19" t="inlineStr">
        <is>
          <t>타일</t>
        </is>
      </c>
      <c r="F16" s="19" t="inlineStr">
        <is>
          <t>확정</t>
        </is>
      </c>
      <c r="G16" s="19" t="inlineStr">
        <is>
          <t>02 러너 / 05 맵</t>
        </is>
      </c>
      <c r="H16" s="19" t="inlineStr">
        <is>
          <t>1m = 1타일</t>
        </is>
      </c>
    </row>
    <row r="17">
      <c r="A17" t="inlineStr">
        <is>
          <t>GL013</t>
        </is>
      </c>
      <c r="B17" t="inlineStr">
        <is>
          <t>해금</t>
        </is>
      </c>
      <c r="C17" t="inlineStr">
        <is>
          <t>슬라이드 해금 누적 미네랄</t>
        </is>
      </c>
      <c r="D17" t="n">
        <v>1000</v>
      </c>
      <c r="E17" t="inlineStr">
        <is>
          <t>광물 누적</t>
        </is>
      </c>
      <c r="F17" t="inlineStr">
        <is>
          <t>확정</t>
        </is>
      </c>
      <c r="G17" t="inlineStr">
        <is>
          <t>09 연구소 경제 업그레이드</t>
        </is>
      </c>
      <c r="H17" t="inlineStr">
        <is>
          <t>다음 판에 초기화</t>
        </is>
      </c>
    </row>
    <row r="18">
      <c r="A18" t="inlineStr">
        <is>
          <t>GL014</t>
        </is>
      </c>
      <c r="B18" t="inlineStr">
        <is>
          <t>해금</t>
        </is>
      </c>
      <c r="C18" t="inlineStr">
        <is>
          <t>주파력 1차 해금 누적 가스</t>
        </is>
      </c>
      <c r="D18" t="n">
        <v>1000</v>
      </c>
      <c r="E18" t="inlineStr">
        <is>
          <t>가스 누적</t>
        </is>
      </c>
      <c r="F18" t="inlineStr">
        <is>
          <t>확정</t>
        </is>
      </c>
      <c r="G18" t="inlineStr">
        <is>
          <t>09 연구소 경제 업그레이드</t>
        </is>
      </c>
      <c r="H18" t="inlineStr">
        <is>
          <t>다음 판에 초기화</t>
        </is>
      </c>
    </row>
    <row r="19">
      <c r="A19" t="inlineStr">
        <is>
          <t>GL015</t>
        </is>
      </c>
      <c r="B19" t="inlineStr">
        <is>
          <t>스테이지</t>
        </is>
      </c>
      <c r="C19" t="inlineStr">
        <is>
          <t>빙하설원 자연 지형</t>
        </is>
      </c>
      <c r="D19" t="n">
        <v>30</v>
      </c>
      <c r="E19" t="inlineStr">
        <is>
          <t>개</t>
        </is>
      </c>
      <c r="F19" t="inlineStr">
        <is>
          <t>확정</t>
        </is>
      </c>
      <c r="G19" t="inlineStr">
        <is>
          <t>05 맵 및 레벨 디자인</t>
        </is>
      </c>
      <c r="H19" t="inlineStr">
        <is>
          <t>현재 확정값</t>
        </is>
      </c>
    </row>
    <row r="20">
      <c r="A20" t="inlineStr">
        <is>
          <t>GL016</t>
        </is>
      </c>
      <c r="B20" t="inlineStr">
        <is>
          <t>스테이지</t>
        </is>
      </c>
      <c r="C20" t="inlineStr">
        <is>
          <t>화산지대 벌레지옥</t>
        </is>
      </c>
      <c r="D20" t="n">
        <v>20</v>
      </c>
      <c r="E20" t="inlineStr">
        <is>
          <t>개</t>
        </is>
      </c>
      <c r="F20" t="inlineStr">
        <is>
          <t>확정</t>
        </is>
      </c>
      <c r="G20" t="inlineStr">
        <is>
          <t>05 맵 및 레벨 디자인</t>
        </is>
      </c>
      <c r="H20" t="inlineStr">
        <is>
          <t>현재 확정값</t>
        </is>
      </c>
    </row>
  </sheetData>
  <autoFilter ref="A4:H20"/>
  <mergeCells count="2">
    <mergeCell ref="A2:H2"/>
    <mergeCell ref="A1:H1"/>
  </mergeCells>
  <conditionalFormatting sqref="F5:F16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dataValidations count="1">
    <dataValidation sqref="F5:F16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3" customWidth="1" style="15" min="2" max="2"/>
    <col width="13" customWidth="1" style="15" min="3" max="3"/>
    <col width="10" customWidth="1" style="15" min="4" max="4"/>
    <col width="10" customWidth="1" style="15" min="5" max="5"/>
    <col width="10" customWidth="1" style="15" min="6" max="6"/>
    <col width="13" customWidth="1" style="15" min="7" max="7"/>
    <col width="10" customWidth="1" style="15" min="8" max="8"/>
    <col width="16" customWidth="1" style="15" min="9" max="9"/>
    <col width="36" customWidth="1" style="15" min="10" max="10"/>
  </cols>
  <sheetData>
    <row r="1" ht="19.20000076293945" customHeight="1" s="15">
      <c r="A1" s="3" t="inlineStr">
        <is>
          <t>Runner — 조작과 능력치</t>
        </is>
      </c>
    </row>
    <row r="2" ht="15" customHeight="1" s="15">
      <c r="A2" s="7" t="inlineStr">
        <is>
          <t>조작의 상세 결과는 02 플레이어 러너 상세 기획을 확인하고, 이 시트에서는 키와 조정값만 관리합니다.</t>
        </is>
      </c>
    </row>
    <row r="3"/>
    <row r="4" ht="15" customHeight="1" s="15">
      <c r="A4" s="14" t="inlineStr">
        <is>
          <t>ID</t>
        </is>
      </c>
      <c r="B4" s="14" t="inlineStr">
        <is>
          <t>행동</t>
        </is>
      </c>
      <c r="C4" s="14" t="inlineStr">
        <is>
          <t>입력</t>
        </is>
      </c>
      <c r="D4" s="14" t="inlineStr">
        <is>
          <t>기본값</t>
        </is>
      </c>
      <c r="E4" s="14" t="inlineStr">
        <is>
          <t>단위</t>
        </is>
      </c>
      <c r="F4" s="14" t="inlineStr">
        <is>
          <t>보조값</t>
        </is>
      </c>
      <c r="G4" s="14" t="inlineStr">
        <is>
          <t>보조 단위</t>
        </is>
      </c>
      <c r="H4" s="14" t="inlineStr">
        <is>
          <t>상태</t>
        </is>
      </c>
      <c r="I4" s="14" t="inlineStr">
        <is>
          <t>기준 문서</t>
        </is>
      </c>
      <c r="J4" s="14" t="inlineStr">
        <is>
          <t>메모</t>
        </is>
      </c>
    </row>
    <row r="5" ht="15" customHeight="1" s="15">
      <c r="A5" s="19" t="n">
        <v>1000</v>
      </c>
      <c r="B5" s="19" t="inlineStr">
        <is>
          <t>이동</t>
        </is>
      </c>
      <c r="C5" s="19" t="inlineStr">
        <is>
          <t>W/A/S/D</t>
        </is>
      </c>
      <c r="D5" s="34" t="n"/>
      <c r="E5" s="19" t="n"/>
      <c r="F5" s="35" t="n"/>
      <c r="G5" s="19" t="n"/>
      <c r="H5" s="19" t="inlineStr">
        <is>
          <t>확정</t>
        </is>
      </c>
      <c r="I5" s="19" t="inlineStr">
        <is>
          <t>02 플레이어 러너</t>
        </is>
      </c>
      <c r="J5" s="19" t="str"/>
    </row>
    <row r="6" ht="15" customHeight="1" s="15">
      <c r="A6" s="19" t="n">
        <v>1001</v>
      </c>
      <c r="B6" s="19" t="inlineStr">
        <is>
          <t>대시</t>
        </is>
      </c>
      <c r="C6" s="19" t="inlineStr">
        <is>
          <t>Shift</t>
        </is>
      </c>
      <c r="D6" s="19" t="n">
        <v>1.5</v>
      </c>
      <c r="E6" s="19" t="inlineStr">
        <is>
          <t>이동속도 배수</t>
        </is>
      </c>
      <c r="F6" s="19" t="n">
        <v>12.5</v>
      </c>
      <c r="G6" s="19" t="inlineStr">
        <is>
          <t>기력/초</t>
        </is>
      </c>
      <c r="H6" s="19" t="inlineStr">
        <is>
          <t>확정</t>
        </is>
      </c>
      <c r="I6" s="19" t="inlineStr">
        <is>
          <t>02 플레이어 러너</t>
        </is>
      </c>
      <c r="J6" s="19" t="inlineStr">
        <is>
          <t>유지형 또는 설정 토글</t>
        </is>
      </c>
    </row>
    <row r="7" ht="15" customHeight="1" s="15">
      <c r="A7" s="19" t="n">
        <v>1002</v>
      </c>
      <c r="B7" s="19" t="inlineStr">
        <is>
          <t>슬라이드</t>
        </is>
      </c>
      <c r="C7" s="19" t="inlineStr">
        <is>
          <t>Ctrl</t>
        </is>
      </c>
      <c r="D7" s="19" t="n">
        <v>3</v>
      </c>
      <c r="E7" s="19" t="inlineStr">
        <is>
          <t>시작 속도 배수</t>
        </is>
      </c>
      <c r="F7" s="19" t="n">
        <v>35</v>
      </c>
      <c r="G7" s="19" t="inlineStr">
        <is>
          <t>기력</t>
        </is>
      </c>
      <c r="H7" s="19" t="inlineStr">
        <is>
          <t>확정</t>
        </is>
      </c>
      <c r="I7" s="19" t="inlineStr">
        <is>
          <t>02 플레이어 러너</t>
        </is>
      </c>
      <c r="J7" s="19" t="inlineStr">
        <is>
          <t>거리 2.5m, 종료 속도 1배</t>
        </is>
      </c>
    </row>
    <row r="8" ht="15" customHeight="1" s="15">
      <c r="A8" s="19" t="n">
        <v>1003</v>
      </c>
      <c r="B8" s="19" t="inlineStr">
        <is>
          <t>중앙 정보</t>
        </is>
      </c>
      <c r="C8" s="19" t="inlineStr">
        <is>
          <t>Space</t>
        </is>
      </c>
      <c r="D8" s="19" t="n">
        <v>15</v>
      </c>
      <c r="E8" s="19" t="inlineStr">
        <is>
          <t>m</t>
        </is>
      </c>
      <c r="F8" s="19" t="n">
        <v>60</v>
      </c>
      <c r="G8" s="19" t="inlineStr">
        <is>
          <t>최대 m</t>
        </is>
      </c>
      <c r="H8" s="19" t="inlineStr">
        <is>
          <t>확정</t>
        </is>
      </c>
      <c r="I8" s="19" t="inlineStr">
        <is>
          <t>02 플레이어 러너</t>
        </is>
      </c>
      <c r="J8" s="19" t="inlineStr">
        <is>
          <t>트랙 단계별 15/30/45/60</t>
        </is>
      </c>
    </row>
    <row r="9" ht="15" customHeight="1" s="15">
      <c r="A9" s="19" t="n">
        <v>1004</v>
      </c>
      <c r="B9" s="19" t="inlineStr">
        <is>
          <t>무기 사용</t>
        </is>
      </c>
      <c r="C9" s="19" t="inlineStr">
        <is>
          <t>Mouse Left</t>
        </is>
      </c>
      <c r="D9" s="19" t="n"/>
      <c r="E9" s="19" t="n"/>
      <c r="F9" s="19" t="n"/>
      <c r="G9" s="19" t="n"/>
      <c r="H9" s="19" t="inlineStr">
        <is>
          <t>확정</t>
        </is>
      </c>
      <c r="I9" s="19" t="inlineStr">
        <is>
          <t>02 플레이어 러너</t>
        </is>
      </c>
      <c r="J9" s="19" t="str"/>
    </row>
    <row r="10" ht="15" customHeight="1" s="15">
      <c r="A10" s="19" t="n">
        <v>1005</v>
      </c>
      <c r="B10" s="19" t="inlineStr">
        <is>
          <t>개척 시작</t>
        </is>
      </c>
      <c r="C10" s="19" t="inlineStr">
        <is>
          <t>Mouse Right</t>
        </is>
      </c>
      <c r="D10" s="19" t="n"/>
      <c r="E10" s="19" t="n"/>
      <c r="F10" s="19" t="n"/>
      <c r="G10" s="19" t="n"/>
      <c r="H10" s="19" t="inlineStr">
        <is>
          <t>확정</t>
        </is>
      </c>
      <c r="I10" s="19" t="inlineStr">
        <is>
          <t>02 러너 / 04 영역</t>
        </is>
      </c>
      <c r="J10" s="19" t="inlineStr">
        <is>
          <t>영역 경계에서 시작</t>
        </is>
      </c>
    </row>
    <row r="11" ht="15" customHeight="1" s="15">
      <c r="A11" s="19" t="n">
        <v>1006</v>
      </c>
      <c r="B11" s="19" t="inlineStr">
        <is>
          <t>아이템 사용</t>
        </is>
      </c>
      <c r="C11" s="19" t="inlineStr">
        <is>
          <t>Q</t>
        </is>
      </c>
      <c r="D11" s="19" t="n"/>
      <c r="E11" s="19" t="n"/>
      <c r="F11" s="19" t="n"/>
      <c r="G11" s="19" t="n"/>
      <c r="H11" s="19" t="inlineStr">
        <is>
          <t>확정</t>
        </is>
      </c>
      <c r="I11" s="19" t="inlineStr">
        <is>
          <t>02 러너 / 10 아이템</t>
        </is>
      </c>
      <c r="J11" s="19" t="str"/>
    </row>
    <row r="12" ht="15" customHeight="1" s="15">
      <c r="A12" s="19" t="n">
        <v>1007</v>
      </c>
      <c r="B12" s="19" t="inlineStr">
        <is>
          <t>스킬 사용</t>
        </is>
      </c>
      <c r="C12" s="19" t="inlineStr">
        <is>
          <t>E</t>
        </is>
      </c>
      <c r="D12" s="19" t="n">
        <v>35</v>
      </c>
      <c r="E12" s="19" t="inlineStr">
        <is>
          <t>기력</t>
        </is>
      </c>
      <c r="F12" s="19" t="n"/>
      <c r="G12" s="19" t="n"/>
      <c r="H12" s="19" t="inlineStr">
        <is>
          <t>확정</t>
        </is>
      </c>
      <c r="I12" s="19" t="inlineStr">
        <is>
          <t>11 스킬 기획</t>
        </is>
      </c>
      <c r="J12" s="19" t="inlineStr">
        <is>
          <t>스킬 공통 비용</t>
        </is>
      </c>
    </row>
    <row r="13" ht="15" customHeight="1" s="15">
      <c r="A13" s="19" t="n">
        <v>1008</v>
      </c>
      <c r="B13" s="19" t="inlineStr">
        <is>
          <t>상호작용</t>
        </is>
      </c>
      <c r="C13" s="19" t="inlineStr">
        <is>
          <t>F</t>
        </is>
      </c>
      <c r="D13" s="19" t="n"/>
      <c r="E13" s="19" t="n"/>
      <c r="F13" s="19" t="n"/>
      <c r="G13" s="19" t="n"/>
      <c r="H13" s="19" t="inlineStr">
        <is>
          <t>확정</t>
        </is>
      </c>
      <c r="I13" s="19" t="inlineStr">
        <is>
          <t>02 플레이어 러너</t>
        </is>
      </c>
      <c r="J13" s="19" t="str"/>
    </row>
    <row r="14" ht="15" customHeight="1" s="15">
      <c r="A14" s="19" t="n">
        <v>1009</v>
      </c>
      <c r="B14" s="19" t="inlineStr">
        <is>
          <t>스마트 핑</t>
        </is>
      </c>
      <c r="C14" s="19" t="inlineStr">
        <is>
          <t>Alt + Mouse</t>
        </is>
      </c>
      <c r="D14" s="19" t="n"/>
      <c r="E14" s="19" t="n"/>
      <c r="F14" s="19" t="n"/>
      <c r="G14" s="19" t="n"/>
      <c r="H14" s="19" t="inlineStr">
        <is>
          <t>추후 입력</t>
        </is>
      </c>
      <c r="I14" s="19" t="inlineStr">
        <is>
          <t>17 공통 UI·UX</t>
        </is>
      </c>
      <c r="J14" s="19" t="inlineStr">
        <is>
          <t>비주얼 기획 후 입력</t>
        </is>
      </c>
    </row>
    <row r="15"/>
    <row r="16"/>
    <row r="17"/>
    <row r="18" ht="15" customHeight="1" s="15">
      <c r="A18" s="23" t="inlineStr">
        <is>
          <t>ID</t>
        </is>
      </c>
      <c r="B18" s="23" t="inlineStr">
        <is>
          <t>능력치</t>
        </is>
      </c>
      <c r="C18" s="23" t="inlineStr">
        <is>
          <t>기본값</t>
        </is>
      </c>
      <c r="D18" s="23" t="inlineStr">
        <is>
          <t>성장 최대</t>
        </is>
      </c>
      <c r="E18" s="23" t="inlineStr">
        <is>
          <t>특수값 1</t>
        </is>
      </c>
      <c r="F18" s="23" t="inlineStr">
        <is>
          <t>특수값 2</t>
        </is>
      </c>
      <c r="G18" s="23" t="inlineStr">
        <is>
          <t>단위</t>
        </is>
      </c>
      <c r="H18" s="23" t="inlineStr">
        <is>
          <t>상태</t>
        </is>
      </c>
      <c r="I18" s="23" t="inlineStr">
        <is>
          <t>기준 문서</t>
        </is>
      </c>
      <c r="J18" s="23" t="inlineStr">
        <is>
          <t>메모</t>
        </is>
      </c>
    </row>
    <row r="19" ht="15" customHeight="1" s="15">
      <c r="A19" s="19" t="n">
        <v>1100</v>
      </c>
      <c r="B19" s="19" t="inlineStr">
        <is>
          <t>체력</t>
        </is>
      </c>
      <c r="C19" s="19" t="n">
        <v>300</v>
      </c>
      <c r="D19" s="19" t="n">
        <v>600</v>
      </c>
      <c r="E19" s="19" t="n"/>
      <c r="F19" s="19" t="n"/>
      <c r="G19" s="19" t="inlineStr">
        <is>
          <t>HP</t>
        </is>
      </c>
      <c r="H19" s="19" t="inlineStr">
        <is>
          <t>확정</t>
        </is>
      </c>
      <c r="I19" s="19" t="inlineStr">
        <is>
          <t>02 플레이어 러너</t>
        </is>
      </c>
      <c r="J19" s="19" t="str"/>
    </row>
    <row r="20" ht="15" customHeight="1" s="15">
      <c r="A20" s="19" t="n">
        <v>1101</v>
      </c>
      <c r="B20" s="19" t="inlineStr">
        <is>
          <t>이동속도</t>
        </is>
      </c>
      <c r="C20" s="19" t="n">
        <v>1</v>
      </c>
      <c r="D20" s="19" t="n">
        <v>2.2</v>
      </c>
      <c r="E20" s="19" t="n">
        <v>4</v>
      </c>
      <c r="F20" s="19" t="n"/>
      <c r="G20" s="19" t="inlineStr">
        <is>
          <t>배수</t>
        </is>
      </c>
      <c r="H20" s="19" t="inlineStr">
        <is>
          <t>확정</t>
        </is>
      </c>
      <c r="I20" s="19" t="inlineStr">
        <is>
          <t>02 플레이어 러너</t>
        </is>
      </c>
      <c r="J20" s="19" t="inlineStr">
        <is>
          <t>특수값1은 순간 최고 속도</t>
        </is>
      </c>
    </row>
    <row r="21" ht="15" customHeight="1" s="15">
      <c r="A21" s="19" t="n">
        <v>1102</v>
      </c>
      <c r="B21" s="19" t="inlineStr">
        <is>
          <t>기력</t>
        </is>
      </c>
      <c r="C21" s="19" t="n">
        <v>100</v>
      </c>
      <c r="D21" s="19" t="n">
        <v>200</v>
      </c>
      <c r="E21" s="19" t="n">
        <v>8.333</v>
      </c>
      <c r="F21" s="19" t="n">
        <v>16.66</v>
      </c>
      <c r="G21" s="19" t="inlineStr">
        <is>
          <t>기력/초</t>
        </is>
      </c>
      <c r="H21" s="19" t="inlineStr">
        <is>
          <t>확정</t>
        </is>
      </c>
      <c r="I21" s="19" t="inlineStr">
        <is>
          <t>02 플레이어 러너</t>
        </is>
      </c>
      <c r="J21" s="19" t="inlineStr">
        <is>
          <t>특수값1/2는 기본/최대 회복</t>
        </is>
      </c>
    </row>
    <row r="22" ht="15" customHeight="1" s="15">
      <c r="A22" s="19" t="n">
        <v>1103</v>
      </c>
      <c r="B22" s="19" t="inlineStr">
        <is>
          <t>주파력</t>
        </is>
      </c>
      <c r="C22" s="19" t="n">
        <v>30</v>
      </c>
      <c r="D22" s="19" t="n">
        <v>120</v>
      </c>
      <c r="E22" s="19" t="n">
        <v>-0.5</v>
      </c>
      <c r="F22" s="19" t="n"/>
      <c r="G22" s="19" t="inlineStr">
        <is>
          <t>m / 이동속도 비율</t>
        </is>
      </c>
      <c r="H22" s="19" t="inlineStr">
        <is>
          <t>확정</t>
        </is>
      </c>
      <c r="I22" s="19" t="inlineStr">
        <is>
          <t>02 러너 / 09 경제</t>
        </is>
      </c>
      <c r="J22" s="19" t="inlineStr">
        <is>
          <t>기본 30m → 해금 60m → 업그레이드 90m → 120m</t>
        </is>
      </c>
    </row>
    <row r="23" ht="15" customHeight="1" s="15">
      <c r="A23" s="19" t="n">
        <v>1104</v>
      </c>
      <c r="B23" s="19" t="inlineStr">
        <is>
          <t>피해 감소</t>
        </is>
      </c>
      <c r="C23" s="19" t="n">
        <v>0</v>
      </c>
      <c r="D23" s="19" t="n">
        <v>0.5</v>
      </c>
      <c r="E23" s="19" t="n"/>
      <c r="F23" s="19" t="n"/>
      <c r="G23" s="19" t="inlineStr">
        <is>
          <t>비율</t>
        </is>
      </c>
      <c r="H23" s="19" t="inlineStr">
        <is>
          <t>확정</t>
        </is>
      </c>
      <c r="I23" s="19" t="inlineStr">
        <is>
          <t>02 플레이어 러너</t>
        </is>
      </c>
      <c r="J23" s="19" t="inlineStr">
        <is>
          <t>피해 계산 최후순위</t>
        </is>
      </c>
    </row>
    <row r="24" ht="15" customHeight="1" s="15">
      <c r="A24" s="19" t="n">
        <v>1105</v>
      </c>
      <c r="B24" s="19" t="inlineStr">
        <is>
          <t>무기 공격력</t>
        </is>
      </c>
      <c r="C24" s="19" t="n">
        <v>1</v>
      </c>
      <c r="D24" s="19" t="n">
        <v>20</v>
      </c>
      <c r="E24" s="19" t="n"/>
      <c r="F24" s="19" t="n"/>
      <c r="G24" s="19" t="inlineStr">
        <is>
          <t>배수</t>
        </is>
      </c>
      <c r="H24" s="19" t="inlineStr">
        <is>
          <t>확정</t>
        </is>
      </c>
      <c r="I24" s="19" t="inlineStr">
        <is>
          <t>02 플레이어 러너</t>
        </is>
      </c>
      <c r="J24" s="19" t="inlineStr">
        <is>
          <t>모든 무기 공통</t>
        </is>
      </c>
    </row>
    <row r="25">
      <c r="A25" t="n">
        <v>1106</v>
      </c>
      <c r="B25" t="inlineStr">
        <is>
          <t>주파력 해금</t>
        </is>
      </c>
      <c r="C25" t="inlineStr">
        <is>
          <t>능력 해금</t>
        </is>
      </c>
      <c r="D25" t="n">
        <v>60</v>
      </c>
      <c r="E25" t="inlineStr">
        <is>
          <t>m</t>
        </is>
      </c>
      <c r="F25" t="n">
        <v>30</v>
      </c>
      <c r="I25" t="inlineStr">
        <is>
          <t>확정</t>
        </is>
      </c>
      <c r="J25" t="inlineStr">
        <is>
          <t>09 연구소 경제</t>
        </is>
      </c>
    </row>
    <row r="26">
      <c r="A26" t="n">
        <v>1107</v>
      </c>
      <c r="B26" t="inlineStr">
        <is>
          <t>주파력 업그레이드 1</t>
        </is>
      </c>
      <c r="C26" t="inlineStr">
        <is>
          <t>1회</t>
        </is>
      </c>
      <c r="D26" t="n">
        <v>90</v>
      </c>
      <c r="E26" t="inlineStr">
        <is>
          <t>m</t>
        </is>
      </c>
      <c r="F26" t="n">
        <v>60</v>
      </c>
      <c r="I26" t="inlineStr">
        <is>
          <t>확정</t>
        </is>
      </c>
      <c r="J26" t="inlineStr">
        <is>
          <t>09 연구소 경제</t>
        </is>
      </c>
    </row>
    <row r="27">
      <c r="A27" t="n">
        <v>1108</v>
      </c>
      <c r="B27" t="inlineStr">
        <is>
          <t>주파력 업그레이드 2</t>
        </is>
      </c>
      <c r="C27" t="inlineStr">
        <is>
          <t>2회</t>
        </is>
      </c>
      <c r="D27" t="n">
        <v>120</v>
      </c>
      <c r="E27" t="inlineStr">
        <is>
          <t>m</t>
        </is>
      </c>
      <c r="F27" t="n">
        <v>90</v>
      </c>
      <c r="I27" t="inlineStr">
        <is>
          <t>확정</t>
        </is>
      </c>
      <c r="J27" t="inlineStr">
        <is>
          <t>09 연구소 경제</t>
        </is>
      </c>
    </row>
  </sheetData>
  <autoFilter ref="A4:J27"/>
  <mergeCells count="2">
    <mergeCell ref="A1:J1"/>
    <mergeCell ref="A2:J2"/>
  </mergeCells>
  <conditionalFormatting sqref="H5:H14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conditionalFormatting sqref="H19:H24">
    <cfRule type="containsText" priority="6" operator="containsText" dxfId="0" text="확정"/>
    <cfRule type="containsText" priority="7" operator="containsText" dxfId="1" text="임시"/>
    <cfRule type="containsText" priority="8" operator="containsText" dxfId="2" text="질문 필요"/>
    <cfRule type="containsText" priority="9" operator="containsText" dxfId="3" text="추후 입력"/>
    <cfRule type="containsText" priority="10" operator="containsText" dxfId="4" text="보류"/>
  </conditionalFormatting>
  <dataValidations count="2">
    <dataValidation sqref="H5:H14" showDropDown="0" showInputMessage="0" showErrorMessage="0" allowBlank="0" type="list">
      <formula1>"확정,임시,질문 필요,추후 입력,보류"</formula1>
    </dataValidation>
    <dataValidation sqref="H19:H24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1" customWidth="1" style="15" min="2" max="2"/>
    <col width="11" customWidth="1" style="15" min="3" max="3"/>
    <col width="10" customWidth="1" style="15" min="4" max="4"/>
    <col width="10" customWidth="1" style="15" min="5" max="5"/>
    <col width="10" customWidth="1" style="15" min="6" max="6"/>
    <col width="10" customWidth="1" style="15" min="7" max="7"/>
    <col width="10" customWidth="1" style="15" min="8" max="8"/>
    <col width="20" customWidth="1" style="15" min="9" max="9"/>
    <col width="11" customWidth="1" style="15" min="10" max="10"/>
    <col width="45" customWidth="1" style="15" min="11" max="11"/>
  </cols>
  <sheetData>
    <row r="1" ht="19.20000076293945" customHeight="1" s="15">
      <c r="A1" s="3" t="inlineStr">
        <is>
          <t>Economy — 자원·업그레이드·토큰 상점</t>
        </is>
      </c>
    </row>
    <row r="2" ht="15" customHeight="1" s="15">
      <c r="A2" s="7" t="inlineStr">
        <is>
          <t>자원 생성 개수는 최초 테스트용 임시값입니다. 총량은 수식으로 계산되며 숫자 셀만 수정합니다.</t>
        </is>
      </c>
    </row>
    <row r="3"/>
    <row r="4" ht="15" customHeight="1" s="15">
      <c r="A4" s="14" t="inlineStr">
        <is>
          <t>ID</t>
        </is>
      </c>
      <c r="B4" s="14" t="inlineStr">
        <is>
          <t>자원</t>
        </is>
      </c>
      <c r="C4" s="14" t="inlineStr">
        <is>
          <t>소형 값</t>
        </is>
      </c>
      <c r="D4" s="14" t="inlineStr">
        <is>
          <t>소형 개수</t>
        </is>
      </c>
      <c r="E4" s="14" t="inlineStr">
        <is>
          <t>중형 값</t>
        </is>
      </c>
      <c r="F4" s="14" t="inlineStr">
        <is>
          <t>중형 개수</t>
        </is>
      </c>
      <c r="G4" s="14" t="inlineStr">
        <is>
          <t>대형 값</t>
        </is>
      </c>
      <c r="H4" s="14" t="inlineStr">
        <is>
          <t>대형 개수</t>
        </is>
      </c>
      <c r="I4" s="14" t="inlineStr">
        <is>
          <t>총 획득량</t>
        </is>
      </c>
      <c r="J4" s="14" t="inlineStr">
        <is>
          <t>상태</t>
        </is>
      </c>
      <c r="K4" s="14" t="inlineStr">
        <is>
          <t>메모</t>
        </is>
      </c>
    </row>
    <row r="5" ht="15" customHeight="1" s="15">
      <c r="A5" s="19" t="n">
        <v>2500</v>
      </c>
      <c r="B5" s="19" t="inlineStr">
        <is>
          <t>광물</t>
        </is>
      </c>
      <c r="C5" s="36" t="n">
        <v>100</v>
      </c>
      <c r="D5" s="36" t="n">
        <v>24</v>
      </c>
      <c r="E5" s="36" t="n">
        <v>200</v>
      </c>
      <c r="F5" s="36" t="n">
        <v>12</v>
      </c>
      <c r="G5" s="36" t="n">
        <v>300</v>
      </c>
      <c r="H5" s="36" t="n">
        <v>6</v>
      </c>
      <c r="I5" s="36">
        <f>C5*D5+E5*F5+G5*H5</f>
        <v/>
      </c>
      <c r="J5" s="19" t="inlineStr">
        <is>
          <t>임시</t>
        </is>
      </c>
      <c r="K5" s="19" t="inlineStr">
        <is>
          <t>시작 지역 추가 자원 포함</t>
        </is>
      </c>
    </row>
    <row r="6" ht="15" customHeight="1" s="15">
      <c r="A6" s="19" t="n">
        <v>2501</v>
      </c>
      <c r="B6" s="19" t="inlineStr">
        <is>
          <t>가스</t>
        </is>
      </c>
      <c r="C6" s="36" t="n">
        <v>100</v>
      </c>
      <c r="D6" s="36" t="n">
        <v>12</v>
      </c>
      <c r="E6" s="36" t="n">
        <v>200</v>
      </c>
      <c r="F6" s="36" t="n">
        <v>6</v>
      </c>
      <c r="G6" s="36" t="n">
        <v>300</v>
      </c>
      <c r="H6" s="36" t="n">
        <v>3</v>
      </c>
      <c r="I6" s="36">
        <f>C6*D6+E6*F6+G6*H6</f>
        <v/>
      </c>
      <c r="J6" s="19" t="inlineStr">
        <is>
          <t>임시</t>
        </is>
      </c>
      <c r="K6" s="19" t="inlineStr">
        <is>
          <t>광물 총량의 1/2 기준</t>
        </is>
      </c>
    </row>
    <row r="7"/>
    <row r="8"/>
    <row r="9" ht="15" customHeight="1" s="15">
      <c r="A9" s="23" t="inlineStr">
        <is>
          <t>ID</t>
        </is>
      </c>
      <c r="B9" s="23" t="inlineStr">
        <is>
          <t>대상</t>
        </is>
      </c>
      <c r="C9" s="23" t="inlineStr">
        <is>
          <t>업그레이드</t>
        </is>
      </c>
      <c r="D9" s="23" t="inlineStr">
        <is>
          <t>회당 증가</t>
        </is>
      </c>
      <c r="E9" s="23" t="inlineStr">
        <is>
          <t>단위</t>
        </is>
      </c>
      <c r="F9" s="23" t="inlineStr">
        <is>
          <t>기본 비용</t>
        </is>
      </c>
      <c r="G9" s="23" t="inlineStr">
        <is>
          <t>단계 증가 비용</t>
        </is>
      </c>
      <c r="H9" s="23" t="inlineStr">
        <is>
          <t>재화</t>
        </is>
      </c>
      <c r="I9" s="23" t="inlineStr">
        <is>
          <t>최대 회수</t>
        </is>
      </c>
      <c r="J9" s="23" t="inlineStr">
        <is>
          <t>상태</t>
        </is>
      </c>
      <c r="K9" s="23" t="inlineStr">
        <is>
          <t>메모</t>
        </is>
      </c>
    </row>
    <row r="10" ht="15" customHeight="1" s="15">
      <c r="A10" s="19" t="n">
        <v>2200</v>
      </c>
      <c r="B10" s="19" t="inlineStr">
        <is>
          <t>타워 속성</t>
        </is>
      </c>
      <c r="C10" s="19" t="inlineStr">
        <is>
          <t>화염 피해</t>
        </is>
      </c>
      <c r="D10" s="33" t="n">
        <v>0.05</v>
      </c>
      <c r="E10" s="37" t="inlineStr">
        <is>
          <t>비율</t>
        </is>
      </c>
      <c r="F10" s="19" t="n">
        <v>100</v>
      </c>
      <c r="G10" s="19" t="n">
        <v>10</v>
      </c>
      <c r="H10" s="19" t="inlineStr">
        <is>
          <t>광물</t>
        </is>
      </c>
      <c r="I10" s="19" t="n"/>
      <c r="J10" s="19" t="inlineStr">
        <is>
          <t>확정</t>
        </is>
      </c>
      <c r="K10" s="19" t="inlineStr">
        <is>
          <t>100 + 10×N</t>
        </is>
      </c>
    </row>
    <row r="11" ht="15" customHeight="1" s="15">
      <c r="A11" s="19" t="n">
        <v>2201</v>
      </c>
      <c r="B11" s="19" t="inlineStr">
        <is>
          <t>타워 속성</t>
        </is>
      </c>
      <c r="C11" s="19" t="inlineStr">
        <is>
          <t>전격 피해</t>
        </is>
      </c>
      <c r="D11" s="33" t="n">
        <v>0.05</v>
      </c>
      <c r="E11" s="37" t="inlineStr">
        <is>
          <t>비율</t>
        </is>
      </c>
      <c r="F11" s="19" t="n">
        <v>100</v>
      </c>
      <c r="G11" s="19" t="n">
        <v>10</v>
      </c>
      <c r="H11" s="19" t="inlineStr">
        <is>
          <t>광물</t>
        </is>
      </c>
      <c r="I11" s="19" t="n"/>
      <c r="J11" s="19" t="inlineStr">
        <is>
          <t>확정</t>
        </is>
      </c>
      <c r="K11" s="19" t="inlineStr">
        <is>
          <t>100 + 10×N</t>
        </is>
      </c>
    </row>
    <row r="12" ht="15" customHeight="1" s="15">
      <c r="A12" s="19" t="n">
        <v>2202</v>
      </c>
      <c r="B12" s="19" t="inlineStr">
        <is>
          <t>타워 속성</t>
        </is>
      </c>
      <c r="C12" s="19" t="inlineStr">
        <is>
          <t>생화학 피해</t>
        </is>
      </c>
      <c r="D12" s="33" t="n">
        <v>0.05</v>
      </c>
      <c r="E12" s="37" t="inlineStr">
        <is>
          <t>비율</t>
        </is>
      </c>
      <c r="F12" s="19" t="n">
        <v>100</v>
      </c>
      <c r="G12" s="19" t="n">
        <v>10</v>
      </c>
      <c r="H12" s="19" t="inlineStr">
        <is>
          <t>광물</t>
        </is>
      </c>
      <c r="I12" s="19" t="n"/>
      <c r="J12" s="19" t="inlineStr">
        <is>
          <t>확정</t>
        </is>
      </c>
      <c r="K12" s="19" t="inlineStr">
        <is>
          <t>100 + 10×N</t>
        </is>
      </c>
    </row>
    <row r="13" ht="15" customHeight="1" s="15">
      <c r="A13" s="19" t="n">
        <v>2203</v>
      </c>
      <c r="B13" s="19" t="inlineStr">
        <is>
          <t>공격 타워</t>
        </is>
      </c>
      <c r="C13" s="19" t="inlineStr">
        <is>
          <t>센트리건 피해</t>
        </is>
      </c>
      <c r="D13" s="33" t="n">
        <v>0.2</v>
      </c>
      <c r="E13" s="37" t="inlineStr">
        <is>
          <t>비율</t>
        </is>
      </c>
      <c r="F13" s="19" t="n">
        <v>100</v>
      </c>
      <c r="G13" s="19" t="n">
        <v>50</v>
      </c>
      <c r="H13" s="19" t="inlineStr">
        <is>
          <t>광물</t>
        </is>
      </c>
      <c r="I13" s="19" t="n">
        <v>5</v>
      </c>
      <c r="J13" s="19" t="inlineStr">
        <is>
          <t>확정</t>
        </is>
      </c>
      <c r="K13" s="19" t="inlineStr">
        <is>
          <t>100 + 50×N</t>
        </is>
      </c>
    </row>
    <row r="14" ht="15" customHeight="1" s="15">
      <c r="A14" s="19" t="n">
        <v>2204</v>
      </c>
      <c r="B14" s="19" t="inlineStr">
        <is>
          <t>공격 타워</t>
        </is>
      </c>
      <c r="C14" s="19" t="inlineStr">
        <is>
          <t>레일건 피해</t>
        </is>
      </c>
      <c r="D14" s="33" t="n">
        <v>0.2</v>
      </c>
      <c r="E14" s="37" t="inlineStr">
        <is>
          <t>비율</t>
        </is>
      </c>
      <c r="F14" s="19" t="n">
        <v>100</v>
      </c>
      <c r="G14" s="19" t="n">
        <v>50</v>
      </c>
      <c r="H14" s="19" t="inlineStr">
        <is>
          <t>광물</t>
        </is>
      </c>
      <c r="I14" s="19" t="n">
        <v>5</v>
      </c>
      <c r="J14" s="19" t="inlineStr">
        <is>
          <t>확정</t>
        </is>
      </c>
      <c r="K14" s="19" t="inlineStr">
        <is>
          <t>100 + 50×N</t>
        </is>
      </c>
    </row>
    <row r="15" ht="15" customHeight="1" s="15">
      <c r="A15" s="19" t="n">
        <v>2205</v>
      </c>
      <c r="B15" s="19" t="inlineStr">
        <is>
          <t>공격 타워</t>
        </is>
      </c>
      <c r="C15" s="19" t="inlineStr">
        <is>
          <t>미사일 피해</t>
        </is>
      </c>
      <c r="D15" s="33" t="n">
        <v>0.2</v>
      </c>
      <c r="E15" s="37" t="inlineStr">
        <is>
          <t>비율</t>
        </is>
      </c>
      <c r="F15" s="19" t="n">
        <v>100</v>
      </c>
      <c r="G15" s="19" t="n">
        <v>50</v>
      </c>
      <c r="H15" s="19" t="inlineStr">
        <is>
          <t>광물</t>
        </is>
      </c>
      <c r="I15" s="19" t="n">
        <v>5</v>
      </c>
      <c r="J15" s="19" t="inlineStr">
        <is>
          <t>확정</t>
        </is>
      </c>
      <c r="K15" s="19" t="inlineStr">
        <is>
          <t>100 + 50×N</t>
        </is>
      </c>
    </row>
    <row r="16" ht="15" customHeight="1" s="15">
      <c r="A16" s="19" t="n">
        <v>2206</v>
      </c>
      <c r="B16" s="19" t="inlineStr">
        <is>
          <t>공격 타워</t>
        </is>
      </c>
      <c r="C16" s="19" t="inlineStr">
        <is>
          <t>레이저 피해</t>
        </is>
      </c>
      <c r="D16" s="33" t="n">
        <v>0.2</v>
      </c>
      <c r="E16" s="37" t="inlineStr">
        <is>
          <t>비율</t>
        </is>
      </c>
      <c r="F16" s="19" t="n">
        <v>100</v>
      </c>
      <c r="G16" s="19" t="n">
        <v>50</v>
      </c>
      <c r="H16" s="19" t="inlineStr">
        <is>
          <t>광물</t>
        </is>
      </c>
      <c r="I16" s="19" t="n">
        <v>5</v>
      </c>
      <c r="J16" s="19" t="inlineStr">
        <is>
          <t>확정</t>
        </is>
      </c>
      <c r="K16" s="19" t="inlineStr">
        <is>
          <t>100 + 50×N</t>
        </is>
      </c>
    </row>
    <row r="17" ht="15" customHeight="1" s="15">
      <c r="A17" s="19" t="n">
        <v>2207</v>
      </c>
      <c r="B17" s="19" t="inlineStr">
        <is>
          <t>공격 타워</t>
        </is>
      </c>
      <c r="C17" s="19" t="inlineStr">
        <is>
          <t>블레이드 피해</t>
        </is>
      </c>
      <c r="D17" s="33" t="n">
        <v>0.2</v>
      </c>
      <c r="E17" s="37" t="inlineStr">
        <is>
          <t>비율</t>
        </is>
      </c>
      <c r="F17" s="19" t="n">
        <v>100</v>
      </c>
      <c r="G17" s="19" t="n">
        <v>50</v>
      </c>
      <c r="H17" s="19" t="inlineStr">
        <is>
          <t>광물</t>
        </is>
      </c>
      <c r="I17" s="19" t="n">
        <v>5</v>
      </c>
      <c r="J17" s="19" t="inlineStr">
        <is>
          <t>확정</t>
        </is>
      </c>
      <c r="K17" s="19" t="inlineStr">
        <is>
          <t>100 + 50×N</t>
        </is>
      </c>
    </row>
    <row r="18" ht="15" customHeight="1" s="15">
      <c r="A18" s="19" t="n">
        <v>2300</v>
      </c>
      <c r="B18" s="19" t="inlineStr">
        <is>
          <t>러너</t>
        </is>
      </c>
      <c r="C18" s="19" t="inlineStr">
        <is>
          <t>최대 체력</t>
        </is>
      </c>
      <c r="D18" s="37" t="n">
        <v>75</v>
      </c>
      <c r="E18" s="37" t="inlineStr">
        <is>
          <t>HP</t>
        </is>
      </c>
      <c r="F18" s="19" t="n">
        <v>0</v>
      </c>
      <c r="G18" s="19" t="n">
        <v>100</v>
      </c>
      <c r="H18" s="19" t="inlineStr">
        <is>
          <t>가스</t>
        </is>
      </c>
      <c r="I18" s="19" t="n">
        <v>4</v>
      </c>
      <c r="J18" s="19" t="inlineStr">
        <is>
          <t>확정</t>
        </is>
      </c>
      <c r="K18" s="19" t="inlineStr">
        <is>
          <t>비용 100×N, N=0부터</t>
        </is>
      </c>
    </row>
    <row r="19" ht="15" customHeight="1" s="15">
      <c r="A19" s="19" t="n">
        <v>2301</v>
      </c>
      <c r="B19" s="19" t="inlineStr">
        <is>
          <t>러너</t>
        </is>
      </c>
      <c r="C19" s="19" t="inlineStr">
        <is>
          <t>이동속도</t>
        </is>
      </c>
      <c r="D19" s="33" t="n">
        <v>0.3</v>
      </c>
      <c r="E19" s="37" t="inlineStr">
        <is>
          <t>배수</t>
        </is>
      </c>
      <c r="F19" s="19" t="n">
        <v>0</v>
      </c>
      <c r="G19" s="19" t="n">
        <v>100</v>
      </c>
      <c r="H19" s="19" t="inlineStr">
        <is>
          <t>가스</t>
        </is>
      </c>
      <c r="I19" s="19" t="n">
        <v>4</v>
      </c>
      <c r="J19" s="19" t="inlineStr">
        <is>
          <t>확정</t>
        </is>
      </c>
      <c r="K19" s="19" t="inlineStr">
        <is>
          <t>비용 100×N</t>
        </is>
      </c>
    </row>
    <row r="20" ht="15" customHeight="1" s="15">
      <c r="A20" s="19" t="n">
        <v>2302</v>
      </c>
      <c r="B20" s="19" t="inlineStr">
        <is>
          <t>러너</t>
        </is>
      </c>
      <c r="C20" s="19" t="inlineStr">
        <is>
          <t>최대 기력</t>
        </is>
      </c>
      <c r="D20" s="37" t="n">
        <v>25</v>
      </c>
      <c r="E20" s="37" t="inlineStr">
        <is>
          <t>기력</t>
        </is>
      </c>
      <c r="F20" s="19" t="n">
        <v>0</v>
      </c>
      <c r="G20" s="19" t="n">
        <v>100</v>
      </c>
      <c r="H20" s="19" t="inlineStr">
        <is>
          <t>가스</t>
        </is>
      </c>
      <c r="I20" s="19" t="n">
        <v>4</v>
      </c>
      <c r="J20" s="19" t="inlineStr">
        <is>
          <t>확정</t>
        </is>
      </c>
      <c r="K20" s="19" t="inlineStr">
        <is>
          <t>비용 100×N</t>
        </is>
      </c>
    </row>
    <row r="21" ht="15" customHeight="1" s="15">
      <c r="A21" s="19" t="n">
        <v>2303</v>
      </c>
      <c r="B21" s="19" t="inlineStr">
        <is>
          <t>러너</t>
        </is>
      </c>
      <c r="C21" s="19" t="inlineStr">
        <is>
          <t>기력 회복</t>
        </is>
      </c>
      <c r="D21" s="33" t="n">
        <v>0.25</v>
      </c>
      <c r="E21" s="37" t="inlineStr">
        <is>
          <t>배수</t>
        </is>
      </c>
      <c r="F21" s="19" t="n">
        <v>0</v>
      </c>
      <c r="G21" s="19" t="n">
        <v>50</v>
      </c>
      <c r="H21" s="19" t="inlineStr">
        <is>
          <t>가스</t>
        </is>
      </c>
      <c r="I21" s="19" t="n">
        <v>4</v>
      </c>
      <c r="J21" s="19" t="inlineStr">
        <is>
          <t>확정</t>
        </is>
      </c>
      <c r="K21" s="19" t="inlineStr">
        <is>
          <t>비용 50×N</t>
        </is>
      </c>
    </row>
    <row r="22" ht="15" customHeight="1" s="15">
      <c r="A22" s="19" t="n">
        <v>2304</v>
      </c>
      <c r="B22" s="19" t="inlineStr">
        <is>
          <t>러너</t>
        </is>
      </c>
      <c r="C22" s="19" t="inlineStr">
        <is>
          <t>주파력</t>
        </is>
      </c>
      <c r="D22" s="37" t="n"/>
      <c r="E22" s="37" t="inlineStr">
        <is>
          <t>m</t>
        </is>
      </c>
      <c r="F22" s="19" t="n">
        <v>0</v>
      </c>
      <c r="G22" s="19" t="n">
        <v>100</v>
      </c>
      <c r="H22" s="19" t="inlineStr">
        <is>
          <t>가스</t>
        </is>
      </c>
      <c r="I22" s="19" t="n">
        <v>2</v>
      </c>
      <c r="J22" s="19" t="inlineStr">
        <is>
          <t>확정</t>
        </is>
      </c>
      <c r="K22" s="19" t="inlineStr">
        <is>
          <t>기본 30m → 능력 해금 60m → 업그레이드 90m → 120m; 비용 100×N</t>
        </is>
      </c>
    </row>
    <row r="23" ht="15" customHeight="1" s="15">
      <c r="A23" s="19" t="n">
        <v>2305</v>
      </c>
      <c r="B23" s="19" t="inlineStr">
        <is>
          <t>러너</t>
        </is>
      </c>
      <c r="C23" s="19" t="inlineStr">
        <is>
          <t>무기 공격력</t>
        </is>
      </c>
      <c r="D23" s="33" t="n">
        <v>0.3</v>
      </c>
      <c r="E23" s="37" t="inlineStr">
        <is>
          <t>배수</t>
        </is>
      </c>
      <c r="F23" s="19" t="n">
        <v>0</v>
      </c>
      <c r="G23" s="19" t="n">
        <v>100</v>
      </c>
      <c r="H23" s="19" t="inlineStr">
        <is>
          <t>가스</t>
        </is>
      </c>
      <c r="I23" s="19" t="n">
        <v>4</v>
      </c>
      <c r="J23" s="19" t="inlineStr">
        <is>
          <t>확정</t>
        </is>
      </c>
      <c r="K23" s="19" t="inlineStr">
        <is>
          <t>비용 100×N</t>
        </is>
      </c>
    </row>
    <row r="24"/>
    <row r="25"/>
    <row r="26"/>
    <row r="27" ht="15" customHeight="1" s="15">
      <c r="A27" s="27" t="inlineStr">
        <is>
          <t>ID</t>
        </is>
      </c>
      <c r="B27" s="27" t="inlineStr">
        <is>
          <t>상품</t>
        </is>
      </c>
      <c r="C27" s="27" t="inlineStr">
        <is>
          <t>분류</t>
        </is>
      </c>
      <c r="D27" s="27" t="inlineStr">
        <is>
          <t>토큰 가격</t>
        </is>
      </c>
      <c r="E27" s="27" t="inlineStr">
        <is>
          <t>구매 시작(초)</t>
        </is>
      </c>
      <c r="F27" s="27" t="inlineStr">
        <is>
          <t>판당 제한</t>
        </is>
      </c>
      <c r="G27" s="27" t="inlineStr">
        <is>
          <t>수치 1</t>
        </is>
      </c>
      <c r="H27" s="27" t="inlineStr">
        <is>
          <t>단위</t>
        </is>
      </c>
      <c r="I27" s="27" t="inlineStr">
        <is>
          <t>상태</t>
        </is>
      </c>
      <c r="J27" s="27" t="inlineStr">
        <is>
          <t>기준 문서</t>
        </is>
      </c>
      <c r="K27" s="27" t="inlineStr">
        <is>
          <t>메모</t>
        </is>
      </c>
    </row>
    <row r="28" ht="15" customHeight="1" s="15">
      <c r="A28" s="19" t="n">
        <v>2400</v>
      </c>
      <c r="B28" s="19" t="inlineStr">
        <is>
          <t>왜곡 깃발</t>
        </is>
      </c>
      <c r="C28" s="19" t="inlineStr">
        <is>
          <t>일반</t>
        </is>
      </c>
      <c r="D28" s="32" t="n">
        <v>1</v>
      </c>
      <c r="E28" s="32" t="n">
        <v>0</v>
      </c>
      <c r="F28" s="19" t="n"/>
      <c r="G28" s="33" t="n">
        <v>0.5</v>
      </c>
      <c r="H28" s="19" t="inlineStr">
        <is>
          <t>둔화율</t>
        </is>
      </c>
      <c r="I28" s="19" t="inlineStr">
        <is>
          <t>상정</t>
        </is>
      </c>
      <c r="J28" s="19" t="inlineStr">
        <is>
          <t>09 연구소 경제</t>
        </is>
      </c>
      <c r="K28" s="19" t="inlineStr">
        <is>
          <t>둔화율 50%, 트랙 확장 시 토큰 반환</t>
        </is>
      </c>
    </row>
    <row r="29" ht="15" customHeight="1" s="15">
      <c r="A29" s="19" t="n">
        <v>2401</v>
      </c>
      <c r="B29" s="19" t="inlineStr">
        <is>
          <t>격리 깃발</t>
        </is>
      </c>
      <c r="C29" s="19" t="inlineStr">
        <is>
          <t>특수</t>
        </is>
      </c>
      <c r="D29" s="32" t="n">
        <v>1</v>
      </c>
      <c r="E29" s="32" t="n">
        <v>0</v>
      </c>
      <c r="F29" s="19" t="n"/>
      <c r="G29" s="19" t="n"/>
      <c r="H29" s="19" t="n"/>
      <c r="I29" s="19" t="inlineStr">
        <is>
          <t>보류</t>
        </is>
      </c>
      <c r="J29" s="19" t="inlineStr">
        <is>
          <t>09 연구소 경제</t>
        </is>
      </c>
      <c r="K29" s="19" t="inlineStr">
        <is>
          <t>기능 추후 설명</t>
        </is>
      </c>
    </row>
    <row r="30" ht="15" customHeight="1" s="15">
      <c r="A30" s="19" t="n">
        <v>2402</v>
      </c>
      <c r="B30" s="19" t="inlineStr">
        <is>
          <t>나침반</t>
        </is>
      </c>
      <c r="C30" s="19" t="inlineStr">
        <is>
          <t>일반</t>
        </is>
      </c>
      <c r="D30" s="32" t="n">
        <v>2</v>
      </c>
      <c r="E30" s="32" t="n">
        <v>0</v>
      </c>
      <c r="F30" s="19" t="n"/>
      <c r="G30" s="19" t="n"/>
      <c r="H30" s="19" t="n"/>
      <c r="I30" s="19" t="inlineStr">
        <is>
          <t>확정</t>
        </is>
      </c>
      <c r="J30" s="19" t="inlineStr">
        <is>
          <t>09 연구소 경제</t>
        </is>
      </c>
      <c r="K30" s="19" t="inlineStr">
        <is>
          <t>효과는 해당 판 동안 유지, 판당 1회</t>
        </is>
      </c>
    </row>
    <row r="31" ht="15" customHeight="1" s="15">
      <c r="A31" s="19" t="n">
        <v>2403</v>
      </c>
      <c r="B31" s="19" t="inlineStr">
        <is>
          <t>지도</t>
        </is>
      </c>
      <c r="C31" s="19" t="inlineStr">
        <is>
          <t>일반</t>
        </is>
      </c>
      <c r="D31" s="32" t="n">
        <v>3</v>
      </c>
      <c r="E31" s="32" t="n">
        <v>1500</v>
      </c>
      <c r="F31" s="19" t="n">
        <v>1</v>
      </c>
      <c r="G31" s="32" t="n">
        <v>4</v>
      </c>
      <c r="H31" s="19" t="inlineStr">
        <is>
          <t>방향 수</t>
        </is>
      </c>
      <c r="I31" s="19" t="inlineStr">
        <is>
          <t>확정</t>
        </is>
      </c>
      <c r="J31" s="19" t="inlineStr">
        <is>
          <t>09 연구소 경제</t>
        </is>
      </c>
      <c r="K31" s="19" t="inlineStr">
        <is>
          <t>판당 1회, 25분부터</t>
        </is>
      </c>
    </row>
    <row r="32" ht="15" customHeight="1" s="15">
      <c r="A32" s="19" t="n">
        <v>2404</v>
      </c>
      <c r="B32" s="19" t="inlineStr">
        <is>
          <t>소울 메이트 뱃지</t>
        </is>
      </c>
      <c r="C32" s="19" t="inlineStr">
        <is>
          <t>특수</t>
        </is>
      </c>
      <c r="D32" s="32" t="n">
        <v>5</v>
      </c>
      <c r="E32" s="32" t="n">
        <v>0</v>
      </c>
      <c r="F32" s="19" t="n"/>
      <c r="G32" s="33" t="n">
        <v>0.1</v>
      </c>
      <c r="H32" s="19" t="inlineStr">
        <is>
          <t>타워 피해 비율</t>
        </is>
      </c>
      <c r="I32" s="19" t="inlineStr">
        <is>
          <t>확정</t>
        </is>
      </c>
      <c r="J32" s="19" t="inlineStr">
        <is>
          <t>09 연구소 경제</t>
        </is>
      </c>
      <c r="K32" s="19" t="inlineStr">
        <is>
          <t>판당 1회, 중복 구매 불가; 무기 피해 +20%</t>
        </is>
      </c>
    </row>
    <row r="33">
      <c r="A33" t="n">
        <v>2310</v>
      </c>
      <c r="B33" t="inlineStr">
        <is>
          <t>해금</t>
        </is>
      </c>
      <c r="C33" t="inlineStr">
        <is>
          <t>슬라이드 해금</t>
        </is>
      </c>
      <c r="D33" t="n">
        <v>1000</v>
      </c>
      <c r="E33" t="inlineStr">
        <is>
          <t>광물 누적</t>
        </is>
      </c>
      <c r="J33" t="inlineStr">
        <is>
          <t>확정</t>
        </is>
      </c>
      <c r="K33" t="inlineStr">
        <is>
          <t>다음 판 초기화</t>
        </is>
      </c>
    </row>
    <row r="34">
      <c r="A34" t="n">
        <v>2311</v>
      </c>
      <c r="B34" t="inlineStr">
        <is>
          <t>해금</t>
        </is>
      </c>
      <c r="C34" t="inlineStr">
        <is>
          <t>주파력 1차 해금</t>
        </is>
      </c>
      <c r="D34" t="n">
        <v>1000</v>
      </c>
      <c r="E34" t="inlineStr">
        <is>
          <t>가스 누적</t>
        </is>
      </c>
      <c r="J34" t="inlineStr">
        <is>
          <t>확정</t>
        </is>
      </c>
      <c r="K34" t="inlineStr">
        <is>
          <t>다음 판 초기화</t>
        </is>
      </c>
    </row>
  </sheetData>
  <autoFilter ref="A4:K34"/>
  <mergeCells count="2">
    <mergeCell ref="A2:K2"/>
    <mergeCell ref="A1:K1"/>
  </mergeCells>
  <conditionalFormatting sqref="J5:J6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conditionalFormatting sqref="J10:J23">
    <cfRule type="containsText" priority="6" operator="containsText" dxfId="0" text="확정"/>
    <cfRule type="containsText" priority="7" operator="containsText" dxfId="1" text="임시"/>
    <cfRule type="containsText" priority="8" operator="containsText" dxfId="2" text="질문 필요"/>
    <cfRule type="containsText" priority="9" operator="containsText" dxfId="3" text="추후 입력"/>
    <cfRule type="containsText" priority="10" operator="containsText" dxfId="4" text="보류"/>
  </conditionalFormatting>
  <conditionalFormatting sqref="I28:I32">
    <cfRule type="containsText" priority="11" operator="containsText" dxfId="0" text="확정"/>
    <cfRule type="containsText" priority="12" operator="containsText" dxfId="1" text="임시"/>
    <cfRule type="containsText" priority="13" operator="containsText" dxfId="2" text="질문 필요"/>
    <cfRule type="containsText" priority="14" operator="containsText" dxfId="3" text="추후 입력"/>
    <cfRule type="containsText" priority="15" operator="containsText" dxfId="4" text="보류"/>
  </conditionalFormatting>
  <dataValidations count="3">
    <dataValidation sqref="J5:J6" showDropDown="0" showInputMessage="0" showErrorMessage="0" allowBlank="0" type="list">
      <formula1>"확정,임시,질문 필요,추후 입력,보류"</formula1>
    </dataValidation>
    <dataValidation sqref="J10:J23" showDropDown="0" showInputMessage="0" showErrorMessage="0" allowBlank="0" type="list">
      <formula1>"확정,임시,질문 필요,추후 입력,보류"</formula1>
    </dataValidation>
    <dataValidation sqref="I28:I32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0" customWidth="1" style="15" min="2" max="2"/>
    <col width="19" customWidth="1" style="15" min="3" max="3"/>
    <col width="10" customWidth="1" style="15" min="4" max="4"/>
    <col width="10" customWidth="1" style="15" min="5" max="5"/>
    <col width="10" customWidth="1" style="15" min="6" max="6"/>
    <col width="10" customWidth="1" style="15" min="7" max="7"/>
    <col width="10" customWidth="1" style="15" min="8" max="8"/>
    <col width="13" customWidth="1" style="15" min="9" max="9"/>
    <col width="15" customWidth="1" style="15" min="10" max="10"/>
    <col width="10" customWidth="1" style="15" min="11" max="11"/>
    <col width="10" customWidth="1" style="15" min="12" max="12"/>
    <col width="10" customWidth="1" style="15" min="13" max="13"/>
    <col width="10" customWidth="1" style="15" min="14" max="14"/>
    <col width="10" customWidth="1" style="15" min="15" max="15"/>
    <col width="43" customWidth="1" style="15" min="16" max="16"/>
  </cols>
  <sheetData>
    <row r="1" ht="19.20000076293945" customHeight="1" s="15">
      <c r="A1" s="3" t="inlineStr">
        <is>
          <t>Tower — 타워 조정 데이터</t>
        </is>
      </c>
    </row>
    <row r="2" ht="15" customHeight="1" s="15">
      <c r="A2" s="7" t="inlineStr">
        <is>
          <t>타워의 역할과 특수 판정은 08 타워 상세 기획을 기준으로 하며, 이 시트에서는 가격·제한·공격주기·재사용 시간을 관리합니다.</t>
        </is>
      </c>
    </row>
    <row r="3"/>
    <row r="4" ht="15" customHeight="1" s="15">
      <c r="A4" s="14" t="inlineStr">
        <is>
          <t>ID</t>
        </is>
      </c>
      <c r="B4" s="14" t="inlineStr">
        <is>
          <t>분류</t>
        </is>
      </c>
      <c r="C4" s="14" t="inlineStr">
        <is>
          <t>타워</t>
        </is>
      </c>
      <c r="D4" s="14" t="inlineStr">
        <is>
          <t>광물</t>
        </is>
      </c>
      <c r="E4" s="14" t="inlineStr">
        <is>
          <t>가스</t>
        </is>
      </c>
      <c r="F4" s="14" t="inlineStr">
        <is>
          <t>최대 수</t>
        </is>
      </c>
      <c r="G4" s="14" t="inlineStr">
        <is>
          <t>공격 간격</t>
        </is>
      </c>
      <c r="H4" s="14" t="inlineStr">
        <is>
          <t>투사체 속도</t>
        </is>
      </c>
      <c r="I4" s="14" t="inlineStr">
        <is>
          <t>판정</t>
        </is>
      </c>
      <c r="J4" s="14" t="inlineStr">
        <is>
          <t>사거리 순위</t>
        </is>
      </c>
      <c r="K4" s="14" t="inlineStr">
        <is>
          <t>범위</t>
        </is>
      </c>
      <c r="L4" s="14" t="inlineStr">
        <is>
          <t>재사용 1</t>
        </is>
      </c>
      <c r="M4" s="14" t="inlineStr">
        <is>
          <t>재사용 2</t>
        </is>
      </c>
      <c r="N4" s="14" t="inlineStr">
        <is>
          <t>재사용 3</t>
        </is>
      </c>
      <c r="O4" s="14" t="inlineStr">
        <is>
          <t>상태</t>
        </is>
      </c>
    </row>
    <row r="5" ht="15" customHeight="1" s="15">
      <c r="A5" s="19" t="n">
        <v>3000</v>
      </c>
      <c r="B5" s="19" t="inlineStr">
        <is>
          <t>센터</t>
        </is>
      </c>
      <c r="C5" s="19" t="inlineStr">
        <is>
          <t>펄스건</t>
        </is>
      </c>
      <c r="D5" s="36" t="n">
        <v>500</v>
      </c>
      <c r="E5" s="36" t="n">
        <v>0</v>
      </c>
      <c r="F5" s="36" t="n">
        <v>3</v>
      </c>
      <c r="G5" s="38" t="n"/>
      <c r="H5" s="38" t="n"/>
      <c r="I5" s="19" t="inlineStr">
        <is>
          <t>빔 3포대</t>
        </is>
      </c>
      <c r="J5" s="19" t="n"/>
      <c r="K5" s="19" t="inlineStr">
        <is>
          <t>단일</t>
        </is>
      </c>
      <c r="L5" s="32" t="n"/>
      <c r="M5" s="32" t="n"/>
      <c r="N5" s="32" t="n"/>
      <c r="O5" s="19" t="inlineStr">
        <is>
          <t>확정</t>
        </is>
      </c>
    </row>
    <row r="6" ht="15" customHeight="1" s="15">
      <c r="A6" s="19" t="n">
        <v>3001</v>
      </c>
      <c r="B6" s="19" t="inlineStr">
        <is>
          <t>센터</t>
        </is>
      </c>
      <c r="C6" s="19" t="inlineStr">
        <is>
          <t>화염</t>
        </is>
      </c>
      <c r="D6" s="36" t="n">
        <v>500</v>
      </c>
      <c r="E6" s="36" t="n">
        <v>250</v>
      </c>
      <c r="F6" s="36" t="n">
        <v>3</v>
      </c>
      <c r="G6" s="38" t="n"/>
      <c r="H6" s="38" t="n"/>
      <c r="I6" s="19" t="inlineStr">
        <is>
          <t>즉사</t>
        </is>
      </c>
      <c r="J6" s="19" t="n"/>
      <c r="K6" s="19" t="inlineStr">
        <is>
          <t>특수</t>
        </is>
      </c>
      <c r="L6" s="32" t="n">
        <v>60</v>
      </c>
      <c r="M6" s="32" t="n">
        <v>50</v>
      </c>
      <c r="N6" s="32" t="n">
        <v>40</v>
      </c>
      <c r="O6" s="19" t="inlineStr">
        <is>
          <t>확정</t>
        </is>
      </c>
      <c r="P6" t="inlineStr">
        <is>
          <t>재사용 60/50/40초는 건설 개수 단계. 화염 특수기는 첫 센터만 사용</t>
        </is>
      </c>
    </row>
    <row r="7" ht="15" customHeight="1" s="15">
      <c r="A7" s="19" t="n">
        <v>3002</v>
      </c>
      <c r="B7" s="19" t="inlineStr">
        <is>
          <t>센터</t>
        </is>
      </c>
      <c r="C7" s="19" t="inlineStr">
        <is>
          <t>전격</t>
        </is>
      </c>
      <c r="D7" s="36" t="n">
        <v>375</v>
      </c>
      <c r="E7" s="36" t="n">
        <v>375</v>
      </c>
      <c r="F7" s="36" t="n">
        <v>3</v>
      </c>
      <c r="G7" s="38" t="n"/>
      <c r="H7" s="38" t="n"/>
      <c r="I7" s="19" t="inlineStr">
        <is>
          <t>기절</t>
        </is>
      </c>
      <c r="J7" s="19" t="n"/>
      <c r="K7" s="19" t="inlineStr">
        <is>
          <t>특수</t>
        </is>
      </c>
      <c r="L7" s="32" t="n">
        <v>45</v>
      </c>
      <c r="M7" s="32" t="n">
        <v>35</v>
      </c>
      <c r="N7" s="32" t="n">
        <v>25</v>
      </c>
      <c r="O7" s="19" t="inlineStr">
        <is>
          <t>확정</t>
        </is>
      </c>
      <c r="P7" t="inlineStr">
        <is>
          <t>재사용 45/35/25초는 건설 개수 단계. 전격 특수기는 첫 센터만 사용</t>
        </is>
      </c>
    </row>
    <row r="8" ht="15" customHeight="1" s="15">
      <c r="A8" s="19" t="n">
        <v>3003</v>
      </c>
      <c r="B8" s="19" t="inlineStr">
        <is>
          <t>센터</t>
        </is>
      </c>
      <c r="C8" s="19" t="inlineStr">
        <is>
          <t>생화학</t>
        </is>
      </c>
      <c r="D8" s="36" t="n">
        <v>250</v>
      </c>
      <c r="E8" s="36" t="n">
        <v>500</v>
      </c>
      <c r="F8" s="36" t="n">
        <v>3</v>
      </c>
      <c r="G8" s="38" t="n"/>
      <c r="H8" s="38" t="n"/>
      <c r="I8" s="19" t="inlineStr">
        <is>
          <t>반전</t>
        </is>
      </c>
      <c r="J8" s="19" t="n"/>
      <c r="K8" s="19" t="inlineStr">
        <is>
          <t>특수</t>
        </is>
      </c>
      <c r="L8" s="32" t="n">
        <v>30</v>
      </c>
      <c r="M8" s="32" t="n"/>
      <c r="N8" s="32" t="n"/>
      <c r="O8" s="19" t="inlineStr">
        <is>
          <t>확정</t>
        </is>
      </c>
      <c r="P8" t="inlineStr">
        <is>
          <t>모든 생화학 센터가 특수기 사용</t>
        </is>
      </c>
    </row>
    <row r="9" ht="15" customHeight="1" s="15">
      <c r="A9" s="19" t="n">
        <v>3005</v>
      </c>
      <c r="B9" s="19" t="inlineStr">
        <is>
          <t>공격</t>
        </is>
      </c>
      <c r="C9" s="19" t="inlineStr">
        <is>
          <t>센트리건</t>
        </is>
      </c>
      <c r="D9" s="36" t="n">
        <v>150</v>
      </c>
      <c r="E9" s="36" t="n">
        <v>0</v>
      </c>
      <c r="F9" s="36" t="n"/>
      <c r="G9" s="38" t="n">
        <v>0.4</v>
      </c>
      <c r="H9" s="38" t="n">
        <v>2</v>
      </c>
      <c r="I9" s="19" t="inlineStr">
        <is>
          <t>단일</t>
        </is>
      </c>
      <c r="J9" s="19" t="n">
        <v>3</v>
      </c>
      <c r="K9" s="19" t="inlineStr">
        <is>
          <t>단일</t>
        </is>
      </c>
      <c r="L9" s="32" t="n"/>
      <c r="M9" s="32" t="n"/>
      <c r="N9" s="32" t="n"/>
      <c r="O9" s="19" t="inlineStr">
        <is>
          <t>확정</t>
        </is>
      </c>
    </row>
    <row r="10" ht="15" customHeight="1" s="15">
      <c r="A10" s="19" t="n">
        <v>3006</v>
      </c>
      <c r="B10" s="19" t="inlineStr">
        <is>
          <t>공격</t>
        </is>
      </c>
      <c r="C10" s="19" t="inlineStr">
        <is>
          <t>레일건</t>
        </is>
      </c>
      <c r="D10" s="36" t="n">
        <v>150</v>
      </c>
      <c r="E10" s="36" t="n">
        <v>0</v>
      </c>
      <c r="F10" s="36" t="n"/>
      <c r="G10" s="38" t="n">
        <v>2.5</v>
      </c>
      <c r="H10" s="38" t="n"/>
      <c r="I10" s="19" t="inlineStr">
        <is>
          <t>단일 즉발</t>
        </is>
      </c>
      <c r="J10" s="19" t="n">
        <v>1</v>
      </c>
      <c r="K10" s="19" t="inlineStr">
        <is>
          <t>단일</t>
        </is>
      </c>
      <c r="L10" s="32" t="n"/>
      <c r="M10" s="32" t="n"/>
      <c r="N10" s="32" t="n"/>
      <c r="O10" s="19" t="inlineStr">
        <is>
          <t>확정</t>
        </is>
      </c>
    </row>
    <row r="11" ht="15" customHeight="1" s="15">
      <c r="A11" s="19" t="n">
        <v>3007</v>
      </c>
      <c r="B11" s="19" t="inlineStr">
        <is>
          <t>공격</t>
        </is>
      </c>
      <c r="C11" s="19" t="inlineStr">
        <is>
          <t>미사일</t>
        </is>
      </c>
      <c r="D11" s="36" t="n">
        <v>100</v>
      </c>
      <c r="E11" s="36" t="n">
        <v>50</v>
      </c>
      <c r="F11" s="36" t="n"/>
      <c r="G11" s="38" t="n">
        <v>1.5</v>
      </c>
      <c r="H11" s="38" t="n">
        <v>1</v>
      </c>
      <c r="I11" s="19" t="inlineStr">
        <is>
          <t>범위</t>
        </is>
      </c>
      <c r="J11" s="19" t="n">
        <v>2</v>
      </c>
      <c r="K11" s="19" t="inlineStr">
        <is>
          <t>원형</t>
        </is>
      </c>
      <c r="L11" s="32" t="n"/>
      <c r="M11" s="32" t="n"/>
      <c r="N11" s="32" t="n"/>
      <c r="O11" s="19" t="inlineStr">
        <is>
          <t>확정</t>
        </is>
      </c>
    </row>
    <row r="12" ht="15" customHeight="1" s="15">
      <c r="A12" s="19" t="n">
        <v>3008</v>
      </c>
      <c r="B12" s="19" t="inlineStr">
        <is>
          <t>공격</t>
        </is>
      </c>
      <c r="C12" s="19" t="inlineStr">
        <is>
          <t>레이저</t>
        </is>
      </c>
      <c r="D12" s="36" t="n">
        <v>100</v>
      </c>
      <c r="E12" s="36" t="n">
        <v>50</v>
      </c>
      <c r="F12" s="36" t="n"/>
      <c r="G12" s="38" t="n">
        <v>1</v>
      </c>
      <c r="H12" s="38" t="n">
        <v>3</v>
      </c>
      <c r="I12" s="19" t="inlineStr">
        <is>
          <t>범위</t>
        </is>
      </c>
      <c r="J12" s="19" t="n">
        <v>4</v>
      </c>
      <c r="K12" s="19" t="inlineStr">
        <is>
          <t>직사각형</t>
        </is>
      </c>
      <c r="L12" s="32" t="n"/>
      <c r="M12" s="32" t="n"/>
      <c r="N12" s="32" t="n"/>
      <c r="O12" s="19" t="inlineStr">
        <is>
          <t>확정</t>
        </is>
      </c>
    </row>
    <row r="13" ht="15" customHeight="1" s="15">
      <c r="A13" s="19" t="n">
        <v>3009</v>
      </c>
      <c r="B13" s="19" t="inlineStr">
        <is>
          <t>공격</t>
        </is>
      </c>
      <c r="C13" s="19" t="inlineStr">
        <is>
          <t>블레이드</t>
        </is>
      </c>
      <c r="D13" s="36" t="n">
        <v>150</v>
      </c>
      <c r="E13" s="36" t="n">
        <v>50</v>
      </c>
      <c r="F13" s="36" t="n"/>
      <c r="G13" s="38" t="n">
        <v>0.5</v>
      </c>
      <c r="H13" s="38" t="n"/>
      <c r="I13" s="19" t="inlineStr">
        <is>
          <t>범위 즉발</t>
        </is>
      </c>
      <c r="J13" s="19" t="n">
        <v>5</v>
      </c>
      <c r="K13" s="19" t="inlineStr">
        <is>
          <t>반원</t>
        </is>
      </c>
      <c r="L13" s="32" t="n"/>
      <c r="M13" s="32" t="n"/>
      <c r="N13" s="32" t="n"/>
      <c r="O13" s="19" t="inlineStr">
        <is>
          <t>확정</t>
        </is>
      </c>
    </row>
    <row r="14" ht="15" customHeight="1" s="15">
      <c r="A14" s="19" t="n">
        <v>3011</v>
      </c>
      <c r="B14" s="19" t="inlineStr">
        <is>
          <t>지원</t>
        </is>
      </c>
      <c r="C14" s="19" t="inlineStr">
        <is>
          <t>유물 발굴</t>
        </is>
      </c>
      <c r="D14" s="36" t="n">
        <v>50</v>
      </c>
      <c r="E14" s="36" t="n">
        <v>0</v>
      </c>
      <c r="F14" s="36" t="n"/>
      <c r="G14" s="38" t="n"/>
      <c r="H14" s="38" t="n"/>
      <c r="I14" s="19" t="inlineStr">
        <is>
          <t>발굴</t>
        </is>
      </c>
      <c r="J14" s="19" t="n"/>
      <c r="K14" s="19" t="inlineStr">
        <is>
          <t>지점</t>
        </is>
      </c>
      <c r="L14" s="32" t="n">
        <v>60</v>
      </c>
      <c r="M14" s="32" t="n"/>
      <c r="N14" s="32" t="n"/>
      <c r="O14" s="19" t="inlineStr">
        <is>
          <t>확정</t>
        </is>
      </c>
    </row>
    <row r="15" ht="15" customHeight="1" s="15">
      <c r="A15" s="19" t="n">
        <v>3012</v>
      </c>
      <c r="B15" s="19" t="inlineStr">
        <is>
          <t>지원</t>
        </is>
      </c>
      <c r="C15" s="19" t="inlineStr">
        <is>
          <t>증폭</t>
        </is>
      </c>
      <c r="D15" s="36" t="n">
        <v>200</v>
      </c>
      <c r="E15" s="36" t="n">
        <v>50</v>
      </c>
      <c r="F15" s="36" t="n"/>
      <c r="G15" s="38" t="n"/>
      <c r="H15" s="38" t="n"/>
      <c r="I15" s="19" t="inlineStr">
        <is>
          <t>버프</t>
        </is>
      </c>
      <c r="J15" s="19" t="n"/>
      <c r="K15" s="19" t="inlineStr">
        <is>
          <t>원형</t>
        </is>
      </c>
      <c r="L15" s="32" t="n">
        <v>90</v>
      </c>
      <c r="M15" s="32" t="n"/>
      <c r="N15" s="32" t="n"/>
      <c r="O15" s="19" t="inlineStr">
        <is>
          <t>확정</t>
        </is>
      </c>
    </row>
    <row r="16" ht="15" customHeight="1" s="15">
      <c r="A16" s="19" t="n">
        <v>3013</v>
      </c>
      <c r="B16" s="19" t="inlineStr">
        <is>
          <t>지원</t>
        </is>
      </c>
      <c r="C16" s="19" t="inlineStr">
        <is>
          <t>재생</t>
        </is>
      </c>
      <c r="D16" s="36" t="n">
        <v>50</v>
      </c>
      <c r="E16" s="36" t="n">
        <v>200</v>
      </c>
      <c r="F16" s="36" t="n">
        <v>1</v>
      </c>
      <c r="G16" s="38" t="n"/>
      <c r="H16" s="38" t="n"/>
      <c r="I16" s="19" t="inlineStr">
        <is>
          <t>회복</t>
        </is>
      </c>
      <c r="J16" s="19" t="n"/>
      <c r="K16" s="19" t="inlineStr">
        <is>
          <t>원형</t>
        </is>
      </c>
      <c r="L16" s="32" t="n"/>
      <c r="M16" s="32" t="n"/>
      <c r="N16" s="32" t="n"/>
      <c r="O16" s="19" t="inlineStr">
        <is>
          <t>확정</t>
        </is>
      </c>
    </row>
    <row r="17" ht="15" customHeight="1" s="15">
      <c r="A17" s="19" t="n">
        <v>3014</v>
      </c>
      <c r="B17" s="19" t="inlineStr">
        <is>
          <t>지원</t>
        </is>
      </c>
      <c r="C17" s="19" t="inlineStr">
        <is>
          <t>보급</t>
        </is>
      </c>
      <c r="D17" s="36" t="n">
        <v>0</v>
      </c>
      <c r="E17" s="36" t="n">
        <v>0</v>
      </c>
      <c r="F17" s="36" t="n"/>
      <c r="G17" s="38" t="n"/>
      <c r="H17" s="38" t="n"/>
      <c r="I17" s="19" t="inlineStr">
        <is>
          <t>보급</t>
        </is>
      </c>
      <c r="J17" s="19" t="n"/>
      <c r="K17" s="19" t="inlineStr">
        <is>
          <t>상호작용</t>
        </is>
      </c>
      <c r="L17" s="32" t="n"/>
      <c r="M17" s="32" t="n"/>
      <c r="N17" s="32" t="n"/>
      <c r="O17" s="19" t="inlineStr">
        <is>
          <t>확정</t>
        </is>
      </c>
    </row>
    <row r="18" ht="15" customHeight="1" s="15">
      <c r="A18" s="19" t="n">
        <v>3015</v>
      </c>
      <c r="B18" s="19" t="inlineStr">
        <is>
          <t>지원</t>
        </is>
      </c>
      <c r="C18" s="19" t="inlineStr">
        <is>
          <t>순간이동</t>
        </is>
      </c>
      <c r="D18" s="36" t="n">
        <v>250</v>
      </c>
      <c r="E18" s="36" t="n">
        <v>150</v>
      </c>
      <c r="F18" s="36" t="n">
        <v>2</v>
      </c>
      <c r="G18" s="38" t="n"/>
      <c r="H18" s="38" t="n"/>
      <c r="I18" s="19" t="inlineStr">
        <is>
          <t>이동</t>
        </is>
      </c>
      <c r="J18" s="19" t="n"/>
      <c r="K18" s="19" t="inlineStr">
        <is>
          <t>2개 연결</t>
        </is>
      </c>
      <c r="L18" s="32" t="n">
        <v>30</v>
      </c>
      <c r="M18" s="32" t="n"/>
      <c r="N18" s="32" t="n"/>
      <c r="O18" s="19" t="inlineStr">
        <is>
          <t>확정</t>
        </is>
      </c>
    </row>
    <row r="19"/>
    <row r="20"/>
    <row r="21"/>
    <row r="22" ht="15" customHeight="1" s="15">
      <c r="A22" s="23" t="inlineStr">
        <is>
          <t>ID</t>
        </is>
      </c>
      <c r="B22" s="23" t="inlineStr">
        <is>
          <t>타워</t>
        </is>
      </c>
      <c r="C22" s="23" t="inlineStr">
        <is>
          <t>효과</t>
        </is>
      </c>
      <c r="D22" s="23" t="inlineStr">
        <is>
          <t>값</t>
        </is>
      </c>
      <c r="E22" s="23" t="inlineStr">
        <is>
          <t>단위</t>
        </is>
      </c>
      <c r="F22" s="23" t="inlineStr">
        <is>
          <t>보조값</t>
        </is>
      </c>
      <c r="G22" s="23" t="inlineStr">
        <is>
          <t>보조 단위</t>
        </is>
      </c>
      <c r="H22" s="23" t="inlineStr">
        <is>
          <t>상태</t>
        </is>
      </c>
      <c r="I22" s="23" t="inlineStr">
        <is>
          <t>기준 문서</t>
        </is>
      </c>
      <c r="J22" s="23" t="inlineStr">
        <is>
          <t>메모</t>
        </is>
      </c>
    </row>
    <row r="23" ht="15" customHeight="1" s="15">
      <c r="A23" s="19" t="inlineStr">
        <is>
          <t>TE001</t>
        </is>
      </c>
      <c r="B23" s="19" t="inlineStr">
        <is>
          <t>증폭</t>
        </is>
      </c>
      <c r="C23" s="19" t="inlineStr">
        <is>
          <t>범위 내 타워 공격속도 증가</t>
        </is>
      </c>
      <c r="D23" s="33" t="n">
        <v>0.2</v>
      </c>
      <c r="E23" s="19" t="inlineStr">
        <is>
          <t>비율</t>
        </is>
      </c>
      <c r="F23" s="19" t="n"/>
      <c r="G23" s="19" t="n"/>
      <c r="H23" s="19" t="inlineStr">
        <is>
          <t>확정</t>
        </is>
      </c>
      <c r="I23" s="19" t="inlineStr">
        <is>
          <t>08 타워 상세 기획</t>
        </is>
      </c>
      <c r="J23" s="19" t="inlineStr">
        <is>
          <t>중첩 불가</t>
        </is>
      </c>
    </row>
    <row r="24" ht="15" customHeight="1" s="15">
      <c r="A24" s="19" t="inlineStr">
        <is>
          <t>TE002</t>
        </is>
      </c>
      <c r="B24" s="19" t="inlineStr">
        <is>
          <t>증폭</t>
        </is>
      </c>
      <c r="C24" s="19" t="inlineStr">
        <is>
          <t>범위 내 러너 이동속도 증가</t>
        </is>
      </c>
      <c r="D24" s="33" t="n">
        <v>0.1</v>
      </c>
      <c r="E24" s="19" t="inlineStr">
        <is>
          <t>비율</t>
        </is>
      </c>
      <c r="F24" s="19" t="n"/>
      <c r="G24" s="19" t="n"/>
      <c r="H24" s="19" t="inlineStr">
        <is>
          <t>확정</t>
        </is>
      </c>
      <c r="I24" s="19" t="inlineStr">
        <is>
          <t>08 타워 상세 기획</t>
        </is>
      </c>
      <c r="J24" s="19" t="inlineStr">
        <is>
          <t>중첩 불가</t>
        </is>
      </c>
    </row>
    <row r="25" ht="15" customHeight="1" s="15">
      <c r="A25" s="19" t="inlineStr">
        <is>
          <t>TE003</t>
        </is>
      </c>
      <c r="B25" s="19" t="inlineStr">
        <is>
          <t>증폭</t>
        </is>
      </c>
      <c r="C25" s="19" t="inlineStr">
        <is>
          <t>범위 내 러너 무기 공격력 증가</t>
        </is>
      </c>
      <c r="D25" s="33" t="n">
        <v>0.1</v>
      </c>
      <c r="E25" s="19" t="inlineStr">
        <is>
          <t>비율</t>
        </is>
      </c>
      <c r="F25" s="19" t="n"/>
      <c r="G25" s="19" t="n"/>
      <c r="H25" s="19" t="inlineStr">
        <is>
          <t>확정</t>
        </is>
      </c>
      <c r="I25" s="19" t="inlineStr">
        <is>
          <t>08 타워 상세 기획</t>
        </is>
      </c>
      <c r="J25" s="19" t="inlineStr">
        <is>
          <t>중첩 불가</t>
        </is>
      </c>
    </row>
    <row r="26" ht="15" customHeight="1" s="15">
      <c r="A26" s="19" t="inlineStr">
        <is>
          <t>TE004</t>
        </is>
      </c>
      <c r="B26" s="19" t="inlineStr">
        <is>
          <t>증폭</t>
        </is>
      </c>
      <c r="C26" s="19" t="inlineStr">
        <is>
          <t>범위 이탈 후 유지시간</t>
        </is>
      </c>
      <c r="D26" s="19" t="n">
        <v>90</v>
      </c>
      <c r="E26" s="19" t="inlineStr">
        <is>
          <t>초</t>
        </is>
      </c>
      <c r="F26" s="19" t="n"/>
      <c r="G26" s="19" t="n"/>
      <c r="H26" s="19" t="inlineStr">
        <is>
          <t>확정</t>
        </is>
      </c>
      <c r="I26" s="19" t="inlineStr">
        <is>
          <t>08 타워 상세 기획</t>
        </is>
      </c>
      <c r="J26" s="19" t="str"/>
    </row>
    <row r="27" ht="15" customHeight="1" s="15">
      <c r="A27" s="19" t="inlineStr">
        <is>
          <t>TE005</t>
        </is>
      </c>
      <c r="B27" s="19" t="inlineStr">
        <is>
          <t>재생</t>
        </is>
      </c>
      <c r="C27" s="19" t="inlineStr">
        <is>
          <t>저장 회복량</t>
        </is>
      </c>
      <c r="D27" s="19" t="n">
        <v>100</v>
      </c>
      <c r="E27" s="19" t="inlineStr">
        <is>
          <t>HP</t>
        </is>
      </c>
      <c r="F27" s="19" t="n"/>
      <c r="G27" s="19" t="n"/>
      <c r="H27" s="19" t="inlineStr">
        <is>
          <t>확정</t>
        </is>
      </c>
      <c r="I27" s="19" t="inlineStr">
        <is>
          <t>08 타워 상세 기획</t>
        </is>
      </c>
      <c r="J27" s="19" t="str"/>
    </row>
    <row r="28" ht="15" customHeight="1" s="15">
      <c r="A28" s="19" t="inlineStr">
        <is>
          <t>TE006</t>
        </is>
      </c>
      <c r="B28" s="19" t="inlineStr">
        <is>
          <t>재생</t>
        </is>
      </c>
      <c r="C28" s="19" t="inlineStr">
        <is>
          <t>회당 회복량</t>
        </is>
      </c>
      <c r="D28" s="19" t="n">
        <v>5</v>
      </c>
      <c r="E28" s="19" t="inlineStr">
        <is>
          <t>HP</t>
        </is>
      </c>
      <c r="F28" s="19" t="n">
        <v>1</v>
      </c>
      <c r="G28" s="19" t="inlineStr">
        <is>
          <t>초 간격</t>
        </is>
      </c>
      <c r="H28" s="19" t="inlineStr">
        <is>
          <t>확정</t>
        </is>
      </c>
      <c r="I28" s="19" t="inlineStr">
        <is>
          <t>08 타워 상세 기획</t>
        </is>
      </c>
      <c r="J28" s="19" t="inlineStr">
        <is>
          <t>총 20회</t>
        </is>
      </c>
    </row>
    <row r="29" ht="15" customHeight="1" s="15">
      <c r="A29" s="19" t="inlineStr">
        <is>
          <t>TE007</t>
        </is>
      </c>
      <c r="B29" s="19" t="inlineStr">
        <is>
          <t>재생</t>
        </is>
      </c>
      <c r="C29" s="19" t="inlineStr">
        <is>
          <t>회복 횟수</t>
        </is>
      </c>
      <c r="D29" s="19" t="n">
        <v>20</v>
      </c>
      <c r="E29" s="19" t="inlineStr">
        <is>
          <t>회</t>
        </is>
      </c>
      <c r="F29" s="19" t="n"/>
      <c r="G29" s="19" t="n"/>
      <c r="H29" s="19" t="inlineStr">
        <is>
          <t>확정</t>
        </is>
      </c>
      <c r="I29" s="19" t="inlineStr">
        <is>
          <t>08 타워 상세 기획</t>
        </is>
      </c>
      <c r="J29" s="19" t="str"/>
    </row>
    <row r="30" ht="15" customHeight="1" s="15">
      <c r="A30" s="19" t="inlineStr">
        <is>
          <t>TE008</t>
        </is>
      </c>
      <c r="B30" s="19" t="inlineStr">
        <is>
          <t>재생</t>
        </is>
      </c>
      <c r="C30" s="19" t="inlineStr">
        <is>
          <t>첫 회복 보호막</t>
        </is>
      </c>
      <c r="D30" s="19" t="n">
        <v>100</v>
      </c>
      <c r="E30" s="19" t="inlineStr">
        <is>
          <t>HP</t>
        </is>
      </c>
      <c r="F30" s="19" t="n">
        <v>1</v>
      </c>
      <c r="G30" s="19" t="inlineStr">
        <is>
          <t>회</t>
        </is>
      </c>
      <c r="H30" s="19" t="inlineStr">
        <is>
          <t>확정</t>
        </is>
      </c>
      <c r="I30" s="19" t="inlineStr">
        <is>
          <t>08 타워 상세 기획</t>
        </is>
      </c>
      <c r="J30" s="19" t="str"/>
    </row>
    <row r="31" ht="21.60000038146973" customHeight="1" s="15">
      <c r="A31" s="19" t="inlineStr">
        <is>
          <t>TE009</t>
        </is>
      </c>
      <c r="B31" s="19" t="inlineStr">
        <is>
          <t>순간이동</t>
        </is>
      </c>
      <c r="C31" s="19" t="inlineStr">
        <is>
          <t>사용 대기시간</t>
        </is>
      </c>
      <c r="D31" s="19" t="n">
        <v>2</v>
      </c>
      <c r="E31" s="19" t="inlineStr">
        <is>
          <t>초</t>
        </is>
      </c>
      <c r="F31" s="19" t="n"/>
      <c r="G31" s="19" t="n"/>
      <c r="H31" s="19" t="inlineStr">
        <is>
          <t>확정</t>
        </is>
      </c>
      <c r="I31" s="19" t="inlineStr">
        <is>
          <t>08 타워 상세 기획</t>
        </is>
      </c>
      <c r="J31" s="19" t="inlineStr">
        <is>
          <t>양방향, 횟수 제한 없음</t>
        </is>
      </c>
    </row>
  </sheetData>
  <autoFilter ref="A4:P31"/>
  <mergeCells count="2">
    <mergeCell ref="A1:O1"/>
    <mergeCell ref="A2:O2"/>
  </mergeCells>
  <conditionalFormatting sqref="O5:O18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conditionalFormatting sqref="H23:H31">
    <cfRule type="containsText" priority="6" operator="containsText" dxfId="0" text="확정"/>
    <cfRule type="containsText" priority="7" operator="containsText" dxfId="1" text="임시"/>
    <cfRule type="containsText" priority="8" operator="containsText" dxfId="2" text="질문 필요"/>
    <cfRule type="containsText" priority="9" operator="containsText" dxfId="3" text="추후 입력"/>
    <cfRule type="containsText" priority="10" operator="containsText" dxfId="4" text="보류"/>
  </conditionalFormatting>
  <dataValidations count="2">
    <dataValidation sqref="O5:O18" showDropDown="0" showInputMessage="0" showErrorMessage="0" allowBlank="0" type="list">
      <formula1>"확정,임시,질문 필요,추후 입력,보류"</formula1>
    </dataValidation>
    <dataValidation sqref="H23:H31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9" customWidth="1" style="15" min="2" max="2"/>
    <col width="17" customWidth="1" style="15" min="3" max="3"/>
    <col width="10" customWidth="1" style="15" min="4" max="4"/>
    <col width="10" customWidth="1" style="15" min="5" max="5"/>
    <col width="10" customWidth="1" style="15" min="6" max="6"/>
    <col width="13" customWidth="1" style="15" min="7" max="7"/>
    <col width="24" customWidth="1" style="15" min="8" max="8"/>
    <col width="10" customWidth="1" style="15" min="9" max="9"/>
    <col width="40" customWidth="1" style="15" min="10" max="10"/>
  </cols>
  <sheetData>
    <row r="1" ht="19.20000076293945" customHeight="1" s="15">
      <c r="A1" s="3" t="inlineStr">
        <is>
          <t>Attribute — 속성 확률과 보너스</t>
        </is>
      </c>
    </row>
    <row r="2" ht="15" customHeight="1" s="15">
      <c r="A2" s="7" t="inlineStr">
        <is>
          <t>확률 합계는 100%가 되어야 합니다. 센터 보너스 재분배와 3개 묶음 피해 보너스는 질문 답변 후 수식화합니다.</t>
        </is>
      </c>
    </row>
    <row r="3"/>
    <row r="4" ht="15" customHeight="1" s="15">
      <c r="A4" s="14" t="inlineStr">
        <is>
          <t>ID</t>
        </is>
      </c>
      <c r="B4" s="14" t="inlineStr">
        <is>
          <t>대상</t>
        </is>
      </c>
      <c r="C4" s="14" t="inlineStr">
        <is>
          <t>조건</t>
        </is>
      </c>
      <c r="D4" s="14" t="inlineStr">
        <is>
          <t>화염</t>
        </is>
      </c>
      <c r="E4" s="14" t="inlineStr">
        <is>
          <t>전격</t>
        </is>
      </c>
      <c r="F4" s="14" t="inlineStr">
        <is>
          <t>생화학</t>
        </is>
      </c>
      <c r="G4" s="14" t="inlineStr">
        <is>
          <t>빙결</t>
        </is>
      </c>
      <c r="H4" s="14" t="inlineStr">
        <is>
          <t>합계</t>
        </is>
      </c>
      <c r="I4" s="14" t="inlineStr">
        <is>
          <t>상태</t>
        </is>
      </c>
      <c r="J4" s="14" t="inlineStr">
        <is>
          <t>메모</t>
        </is>
      </c>
    </row>
    <row r="5" ht="15" customHeight="1" s="15">
      <c r="A5" s="19" t="inlineStr">
        <is>
          <t>AT001</t>
        </is>
      </c>
      <c r="B5" s="19" t="inlineStr">
        <is>
          <t>일반 공격 타워</t>
        </is>
      </c>
      <c r="C5" s="19" t="inlineStr">
        <is>
          <t>기본</t>
        </is>
      </c>
      <c r="D5" s="33" t="n">
        <v>0.333</v>
      </c>
      <c r="E5" s="33" t="n">
        <v>0.333</v>
      </c>
      <c r="F5" s="33" t="n">
        <v>0.334</v>
      </c>
      <c r="G5" s="33" t="n">
        <v>0</v>
      </c>
      <c r="H5" s="33">
        <f>SUM(D5:G5)</f>
        <v/>
      </c>
      <c r="I5" s="19" t="inlineStr">
        <is>
          <t>확정</t>
        </is>
      </c>
      <c r="J5" s="19" t="inlineStr">
        <is>
          <t>표시상 각 33.3%</t>
        </is>
      </c>
    </row>
    <row r="6" ht="15" customHeight="1" s="15">
      <c r="A6" s="19" t="inlineStr">
        <is>
          <t>AT002</t>
        </is>
      </c>
      <c r="B6" s="19" t="inlineStr">
        <is>
          <t>블레이드</t>
        </is>
      </c>
      <c r="C6" s="19" t="inlineStr">
        <is>
          <t>기본</t>
        </is>
      </c>
      <c r="D6" s="33" t="n">
        <v>0.3</v>
      </c>
      <c r="E6" s="33" t="n">
        <v>0.3</v>
      </c>
      <c r="F6" s="33" t="n">
        <v>0.3</v>
      </c>
      <c r="G6" s="33" t="n">
        <v>0.1</v>
      </c>
      <c r="H6" s="33">
        <f>SUM(D6:G6)</f>
        <v/>
      </c>
      <c r="I6" s="19" t="inlineStr">
        <is>
          <t>확정</t>
        </is>
      </c>
      <c r="J6" s="19" t="str"/>
    </row>
    <row r="7" ht="15" customHeight="1" s="15">
      <c r="A7" s="19" t="inlineStr">
        <is>
          <t>AT003</t>
        </is>
      </c>
      <c r="B7" s="19" t="inlineStr">
        <is>
          <t>블레이드</t>
        </is>
      </c>
      <c r="C7" s="19" t="inlineStr">
        <is>
          <t>냉전 보유</t>
        </is>
      </c>
      <c r="D7" s="33" t="n">
        <v>0.25</v>
      </c>
      <c r="E7" s="33" t="n">
        <v>0.25</v>
      </c>
      <c r="F7" s="33" t="n">
        <v>0.25</v>
      </c>
      <c r="G7" s="33" t="n">
        <v>0.25</v>
      </c>
      <c r="H7" s="33">
        <f>SUM(D7:G7)</f>
        <v/>
      </c>
      <c r="I7" s="19" t="inlineStr">
        <is>
          <t>확정</t>
        </is>
      </c>
      <c r="J7" s="19" t="str"/>
    </row>
    <row r="8"/>
    <row r="9"/>
    <row r="10"/>
    <row r="11" ht="15" customHeight="1" s="15">
      <c r="A11" s="23" t="inlineStr">
        <is>
          <t>ID</t>
        </is>
      </c>
      <c r="B11" s="23" t="inlineStr">
        <is>
          <t>규칙</t>
        </is>
      </c>
      <c r="C11" s="23" t="inlineStr">
        <is>
          <t>값</t>
        </is>
      </c>
      <c r="D11" s="23" t="inlineStr">
        <is>
          <t>단위</t>
        </is>
      </c>
      <c r="E11" s="23" t="inlineStr">
        <is>
          <t>적용 대상</t>
        </is>
      </c>
      <c r="F11" s="23" t="inlineStr">
        <is>
          <t>상태</t>
        </is>
      </c>
      <c r="G11" s="23" t="inlineStr">
        <is>
          <t>기준 문서</t>
        </is>
      </c>
      <c r="H11" s="23" t="inlineStr">
        <is>
          <t>메모</t>
        </is>
      </c>
    </row>
    <row r="12" ht="21.60000038146973" customHeight="1" s="15">
      <c r="A12" s="19" t="inlineStr">
        <is>
          <t>AT101</t>
        </is>
      </c>
      <c r="B12" s="19" t="inlineStr">
        <is>
          <t>속성 센터 대상 확률 증가</t>
        </is>
      </c>
      <c r="C12" s="33" t="n">
        <v>0.1</v>
      </c>
      <c r="D12" s="19" t="inlineStr">
        <is>
          <t>%p</t>
        </is>
      </c>
      <c r="E12" s="19" t="inlineStr">
        <is>
          <t>선택 속성</t>
        </is>
      </c>
      <c r="F12" s="19" t="inlineStr">
        <is>
          <t>질문 필요</t>
        </is>
      </c>
      <c r="G12" s="19" t="inlineStr">
        <is>
          <t>08 타워 상세 기획</t>
        </is>
      </c>
      <c r="H12" s="19" t="inlineStr">
        <is>
          <t>나머지 확률 재분배 방식 질문</t>
        </is>
      </c>
      <c r="I12" t="inlineStr">
        <is>
          <t>확정</t>
        </is>
      </c>
      <c r="J12" t="inlineStr">
        <is>
          <t>+10%p를 선택 속성에 적용하고 나머지 두 속성에서 동일하게 재분배</t>
        </is>
      </c>
    </row>
    <row r="13" ht="21.60000038146973" customHeight="1" s="15">
      <c r="A13" s="19" t="inlineStr">
        <is>
          <t>AT102</t>
        </is>
      </c>
      <c r="B13" s="19" t="inlineStr">
        <is>
          <t>같은 속성 3개 묶음 피해 증가</t>
        </is>
      </c>
      <c r="C13" s="33" t="n">
        <v>0.1</v>
      </c>
      <c r="D13" s="19" t="inlineStr">
        <is>
          <t>비율</t>
        </is>
      </c>
      <c r="E13" s="19" t="inlineStr">
        <is>
          <t>모든 타워</t>
        </is>
      </c>
      <c r="F13" s="19" t="inlineStr">
        <is>
          <t>질문 필요</t>
        </is>
      </c>
      <c r="G13" s="19" t="inlineStr">
        <is>
          <t>08 타워 상세 기획</t>
        </is>
      </c>
      <c r="H13" s="19" t="inlineStr">
        <is>
          <t>속성별 묶음 합산·상한 질문</t>
        </is>
      </c>
      <c r="I13" t="inlineStr">
        <is>
          <t>확정</t>
        </is>
      </c>
      <c r="J13" t="inlineStr">
        <is>
          <t>속성별 완성 3개 묶음 수를 합산. 센터/지원 제외. 최대치 없음</t>
        </is>
      </c>
    </row>
    <row r="14" ht="21.60000038146973" customHeight="1" s="15">
      <c r="A14" s="19" t="inlineStr">
        <is>
          <t>AT103</t>
        </is>
      </c>
      <c r="B14" s="19" t="inlineStr">
        <is>
          <t>화염</t>
        </is>
      </c>
      <c r="C14" s="33" t="n"/>
      <c r="D14" s="19" t="n"/>
      <c r="E14" s="19" t="inlineStr">
        <is>
          <t>지속 피해</t>
        </is>
      </c>
      <c r="F14" s="19" t="inlineStr">
        <is>
          <t>추후 입력</t>
        </is>
      </c>
      <c r="G14" s="19" t="inlineStr">
        <is>
          <t>08 타워 상세 기획</t>
        </is>
      </c>
      <c r="H14" s="19" t="inlineStr">
        <is>
          <t>피해량·주기</t>
        </is>
      </c>
    </row>
    <row r="15" ht="21.60000038146973" customHeight="1" s="15">
      <c r="A15" s="19" t="inlineStr">
        <is>
          <t>AT104</t>
        </is>
      </c>
      <c r="B15" s="19" t="inlineStr">
        <is>
          <t>전격</t>
        </is>
      </c>
      <c r="C15" s="33" t="n"/>
      <c r="D15" s="19" t="n"/>
      <c r="E15" s="19" t="inlineStr">
        <is>
          <t>이동속도 감소</t>
        </is>
      </c>
      <c r="F15" s="19" t="inlineStr">
        <is>
          <t>추후 입력</t>
        </is>
      </c>
      <c r="G15" s="19" t="inlineStr">
        <is>
          <t>08 타워 상세 기획</t>
        </is>
      </c>
      <c r="H15" s="19" t="inlineStr">
        <is>
          <t>감속률·지속</t>
        </is>
      </c>
    </row>
    <row r="16" ht="21.60000038146973" customHeight="1" s="15">
      <c r="A16" s="19" t="inlineStr">
        <is>
          <t>AT105</t>
        </is>
      </c>
      <c r="B16" s="19" t="inlineStr">
        <is>
          <t>생화학</t>
        </is>
      </c>
      <c r="C16" s="33" t="n"/>
      <c r="D16" s="19" t="n"/>
      <c r="E16" s="19" t="inlineStr">
        <is>
          <t>주변 확산 피해</t>
        </is>
      </c>
      <c r="F16" s="19" t="inlineStr">
        <is>
          <t>추후 입력</t>
        </is>
      </c>
      <c r="G16" s="19" t="inlineStr">
        <is>
          <t>08 타워 상세 기획</t>
        </is>
      </c>
      <c r="H16" s="19" t="inlineStr">
        <is>
          <t>피해 비율·범위</t>
        </is>
      </c>
    </row>
    <row r="17">
      <c r="A17" t="inlineStr">
        <is>
          <t>AT106</t>
        </is>
      </c>
      <c r="B17" t="inlineStr">
        <is>
          <t>속성 묶음</t>
        </is>
      </c>
      <c r="C17" t="inlineStr">
        <is>
          <t>묶음 기준</t>
        </is>
      </c>
      <c r="D17" t="n">
        <v>3</v>
      </c>
      <c r="E17" t="inlineStr">
        <is>
          <t>개</t>
        </is>
      </c>
      <c r="F17" t="inlineStr">
        <is>
          <t>확정</t>
        </is>
      </c>
      <c r="G17" t="inlineStr">
        <is>
          <t>08 타워 상세 기획</t>
        </is>
      </c>
      <c r="H17" t="inlineStr">
        <is>
          <t>동일 속성 공격 타워 3개</t>
        </is>
      </c>
    </row>
    <row r="18">
      <c r="A18" t="inlineStr">
        <is>
          <t>AT107</t>
        </is>
      </c>
      <c r="B18" t="inlineStr">
        <is>
          <t>속성 묶음</t>
        </is>
      </c>
      <c r="C18" t="inlineStr">
        <is>
          <t>묶음당 모든 타워 피해 증가</t>
        </is>
      </c>
      <c r="D18" s="39" t="n">
        <v>0.1</v>
      </c>
      <c r="E18" t="inlineStr">
        <is>
          <t>비율</t>
        </is>
      </c>
      <c r="F18" t="inlineStr">
        <is>
          <t>확정</t>
        </is>
      </c>
      <c r="G18" t="inlineStr">
        <is>
          <t>08 타워 상세 기획</t>
        </is>
      </c>
      <c r="H18" t="inlineStr">
        <is>
          <t>속성별 완성 묶음 수 합산, 최대치 없음</t>
        </is>
      </c>
    </row>
  </sheetData>
  <autoFilter ref="A4:J18"/>
  <mergeCells count="2">
    <mergeCell ref="A1:J1"/>
    <mergeCell ref="A2:J2"/>
  </mergeCells>
  <conditionalFormatting sqref="I5:I7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conditionalFormatting sqref="F12:F16">
    <cfRule type="containsText" priority="6" operator="containsText" dxfId="0" text="확정"/>
    <cfRule type="containsText" priority="7" operator="containsText" dxfId="1" text="임시"/>
    <cfRule type="containsText" priority="8" operator="containsText" dxfId="2" text="질문 필요"/>
    <cfRule type="containsText" priority="9" operator="containsText" dxfId="3" text="추후 입력"/>
    <cfRule type="containsText" priority="10" operator="containsText" dxfId="4" text="보류"/>
  </conditionalFormatting>
  <dataValidations count="2">
    <dataValidation sqref="I5:I7" showDropDown="0" showInputMessage="0" showErrorMessage="0" allowBlank="0" type="list">
      <formula1>"확정,임시,질문 필요,추후 입력,보류"</formula1>
    </dataValidation>
    <dataValidation sqref="F12:F16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0" customWidth="1" style="15" min="2" max="2"/>
    <col width="10" customWidth="1" style="15" min="3" max="3"/>
    <col width="10" customWidth="1" style="15" min="4" max="4"/>
    <col width="10" customWidth="1" style="15" min="5" max="5"/>
    <col width="10" customWidth="1" style="15" min="6" max="6"/>
    <col width="10" customWidth="1" style="15" min="7" max="7"/>
    <col width="11" customWidth="1" style="15" min="8" max="8"/>
    <col width="10" customWidth="1" style="15" min="9" max="9"/>
    <col width="10" customWidth="1" style="15" min="10" max="10"/>
    <col width="11" customWidth="1" style="15" min="11" max="11"/>
    <col width="10" customWidth="1" style="15" min="12" max="12"/>
    <col width="16" customWidth="1" style="15" min="13" max="13"/>
  </cols>
  <sheetData>
    <row r="1" ht="19.20000076293945" customHeight="1" s="15">
      <c r="A1" s="3" t="inlineStr">
        <is>
          <t>Item — 소모품 데이터</t>
        </is>
      </c>
    </row>
    <row r="2" ht="15" customHeight="1" s="15">
      <c r="A2" s="7" t="inlineStr">
        <is>
          <t>아이템의 전체 행동은 10 아이템 기획을 기준으로 합니다. 보급품 총 한도는 10개이며 한도 도달 시 구매를 막습니다.</t>
        </is>
      </c>
    </row>
    <row r="3"/>
    <row r="4" ht="15" customHeight="1" s="15">
      <c r="A4" s="14" t="inlineStr">
        <is>
          <t>ID</t>
        </is>
      </c>
      <c r="B4" s="14" t="inlineStr">
        <is>
          <t>아이템</t>
        </is>
      </c>
      <c r="C4" s="14" t="inlineStr">
        <is>
          <t>광물</t>
        </is>
      </c>
      <c r="D4" s="14" t="inlineStr">
        <is>
          <t>가스</t>
        </is>
      </c>
      <c r="E4" s="14" t="inlineStr">
        <is>
          <t>지속시간</t>
        </is>
      </c>
      <c r="F4" s="14" t="inlineStr">
        <is>
          <t>최대 소지</t>
        </is>
      </c>
      <c r="G4" s="14" t="inlineStr">
        <is>
          <t>해금 조건</t>
        </is>
      </c>
      <c r="H4" s="14" t="inlineStr">
        <is>
          <t>범위</t>
        </is>
      </c>
      <c r="I4" s="14" t="inlineStr">
        <is>
          <t>피해 수치</t>
        </is>
      </c>
      <c r="J4" s="14" t="inlineStr">
        <is>
          <t>효과 주기</t>
        </is>
      </c>
      <c r="K4" s="14" t="inlineStr">
        <is>
          <t>주파력 상한 제거</t>
        </is>
      </c>
      <c r="L4" s="14" t="inlineStr">
        <is>
          <t>상태</t>
        </is>
      </c>
      <c r="M4" s="14" t="inlineStr">
        <is>
          <t>메모</t>
        </is>
      </c>
    </row>
    <row r="5" ht="15" customHeight="1" s="15">
      <c r="A5" s="19" t="n">
        <v>7000</v>
      </c>
      <c r="B5" s="19" t="inlineStr">
        <is>
          <t>생명선</t>
        </is>
      </c>
      <c r="C5" s="36" t="n">
        <v>30</v>
      </c>
      <c r="D5" s="36" t="n">
        <v>0</v>
      </c>
      <c r="E5" s="36" t="n"/>
      <c r="F5" s="36" t="n">
        <v>3</v>
      </c>
      <c r="G5" s="19" t="inlineStr">
        <is>
          <t>없음</t>
        </is>
      </c>
      <c r="H5" s="19" t="n"/>
      <c r="I5" s="33" t="n"/>
      <c r="J5" s="35" t="n"/>
      <c r="K5" s="19" t="b">
        <v>0</v>
      </c>
      <c r="L5" s="19" t="inlineStr">
        <is>
          <t>확정</t>
        </is>
      </c>
      <c r="M5" s="19" t="inlineStr">
        <is>
          <t>게임 시작 1개</t>
        </is>
      </c>
    </row>
    <row r="6" ht="15" customHeight="1" s="15">
      <c r="A6" s="19" t="n">
        <v>7001</v>
      </c>
      <c r="B6" s="19" t="inlineStr">
        <is>
          <t>방벽</t>
        </is>
      </c>
      <c r="C6" s="36" t="n">
        <v>30</v>
      </c>
      <c r="D6" s="36" t="n">
        <v>0</v>
      </c>
      <c r="E6" s="36" t="n">
        <v>2</v>
      </c>
      <c r="F6" s="36" t="n">
        <v>3</v>
      </c>
      <c r="G6" s="19" t="inlineStr">
        <is>
          <t>없음</t>
        </is>
      </c>
      <c r="H6" s="19" t="inlineStr">
        <is>
          <t>초당 3타일 확장</t>
        </is>
      </c>
      <c r="I6" s="33" t="n"/>
      <c r="J6" s="35" t="n"/>
      <c r="K6" s="19" t="b">
        <v>0</v>
      </c>
      <c r="L6" s="19" t="inlineStr">
        <is>
          <t>확정</t>
        </is>
      </c>
      <c r="M6" s="19" t="inlineStr">
        <is>
          <t>투사체 파괴</t>
        </is>
      </c>
    </row>
    <row r="7" ht="15" customHeight="1" s="15">
      <c r="A7" s="19" t="n">
        <v>7002</v>
      </c>
      <c r="B7" s="19" t="inlineStr">
        <is>
          <t>소각기</t>
        </is>
      </c>
      <c r="C7" s="36" t="n">
        <v>30</v>
      </c>
      <c r="D7" s="36" t="n">
        <v>20</v>
      </c>
      <c r="E7" s="36" t="n">
        <v>10</v>
      </c>
      <c r="F7" s="36" t="n">
        <v>1</v>
      </c>
      <c r="G7" s="19" t="inlineStr">
        <is>
          <t>화염 센터</t>
        </is>
      </c>
      <c r="H7" s="19" t="inlineStr">
        <is>
          <t>가까운 적</t>
        </is>
      </c>
      <c r="I7" s="33" t="n"/>
      <c r="J7" s="35" t="n"/>
      <c r="K7" s="19" t="b">
        <v>0</v>
      </c>
      <c r="L7" s="19" t="inlineStr">
        <is>
          <t>추후 입력</t>
        </is>
      </c>
      <c r="M7" s="19" t="inlineStr">
        <is>
          <t>드론 자동 공격</t>
        </is>
      </c>
    </row>
    <row r="8" ht="15" customHeight="1" s="15">
      <c r="A8" s="19" t="n">
        <v>7003</v>
      </c>
      <c r="B8" s="19" t="inlineStr">
        <is>
          <t>전류탄</t>
        </is>
      </c>
      <c r="C8" s="36" t="n">
        <v>50</v>
      </c>
      <c r="D8" s="36" t="n">
        <v>0</v>
      </c>
      <c r="E8" s="36" t="n">
        <v>2</v>
      </c>
      <c r="F8" s="36" t="n">
        <v>3</v>
      </c>
      <c r="G8" s="19" t="inlineStr">
        <is>
          <t>전격 센터</t>
        </is>
      </c>
      <c r="H8" s="19" t="inlineStr">
        <is>
          <t>지름 2타일</t>
        </is>
      </c>
      <c r="I8" s="33" t="n"/>
      <c r="J8" s="35" t="n"/>
      <c r="K8" s="19" t="b">
        <v>0</v>
      </c>
      <c r="L8" s="19" t="inlineStr">
        <is>
          <t>확정</t>
        </is>
      </c>
      <c r="M8" s="19" t="inlineStr">
        <is>
          <t>투사체 속도 초당 5타일</t>
        </is>
      </c>
    </row>
    <row r="9" ht="15" customHeight="1" s="15">
      <c r="A9" s="19" t="n">
        <v>7004</v>
      </c>
      <c r="B9" s="19" t="inlineStr">
        <is>
          <t>생분해 장치</t>
        </is>
      </c>
      <c r="C9" s="36" t="n">
        <v>0</v>
      </c>
      <c r="D9" s="36" t="n">
        <v>60</v>
      </c>
      <c r="E9" s="36" t="n">
        <v>30</v>
      </c>
      <c r="F9" s="36" t="n">
        <v>2</v>
      </c>
      <c r="G9" s="19" t="inlineStr">
        <is>
          <t>생화학 센터</t>
        </is>
      </c>
      <c r="H9" s="19" t="inlineStr">
        <is>
          <t>모든 활성 사선</t>
        </is>
      </c>
      <c r="I9" s="33" t="n">
        <v>0.035</v>
      </c>
      <c r="J9" s="35" t="n">
        <v>0.5</v>
      </c>
      <c r="K9" s="19" t="b">
        <v>1</v>
      </c>
      <c r="L9" s="19" t="inlineStr">
        <is>
          <t>확정</t>
        </is>
      </c>
      <c r="M9" s="19" t="inlineStr">
        <is>
          <t>대상 최대 체력 비율 피해</t>
        </is>
      </c>
    </row>
  </sheetData>
  <autoFilter ref="A4:M9"/>
  <mergeCells count="2">
    <mergeCell ref="A2:M2"/>
    <mergeCell ref="A1:M1"/>
  </mergeCells>
  <conditionalFormatting sqref="L5:L9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dataValidations count="1">
    <dataValidation sqref="L5:L9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0" customWidth="1" style="15" min="2" max="2"/>
    <col width="10" customWidth="1" style="15" min="3" max="3"/>
    <col width="10" customWidth="1" style="15" min="4" max="4"/>
    <col width="10" customWidth="1" style="15" min="5" max="5"/>
    <col width="10" customWidth="1" style="15" min="6" max="6"/>
    <col width="10" customWidth="1" style="15" min="7" max="7"/>
    <col width="10" customWidth="1" style="15" min="8" max="8"/>
    <col width="10" customWidth="1" style="15" min="9" max="9"/>
    <col width="19" customWidth="1" style="15" min="10" max="10"/>
  </cols>
  <sheetData>
    <row r="1" ht="19.20000076293945" customHeight="1" s="15">
      <c r="A1" s="3" t="inlineStr">
        <is>
          <t>Skill — 러너 스킬 데이터</t>
        </is>
      </c>
    </row>
    <row r="2" ht="15" customHeight="1" s="15">
      <c r="A2" s="7" t="inlineStr">
        <is>
          <t>스킬은 세 종류로 확정하며 러너는 한 종류만 장착합니다. 지속형 스킬은 지속 종료 뒤부터 재사용 시간을 계산합니다.</t>
        </is>
      </c>
    </row>
    <row r="3"/>
    <row r="4" ht="15" customHeight="1" s="15">
      <c r="A4" s="14" t="inlineStr">
        <is>
          <t>ID</t>
        </is>
      </c>
      <c r="B4" s="14" t="inlineStr">
        <is>
          <t>스킬</t>
        </is>
      </c>
      <c r="C4" s="14" t="inlineStr">
        <is>
          <t>기력 비용</t>
        </is>
      </c>
      <c r="D4" s="14" t="inlineStr">
        <is>
          <t>지속시간</t>
        </is>
      </c>
      <c r="E4" s="14" t="inlineStr">
        <is>
          <t>재사용</t>
        </is>
      </c>
      <c r="F4" s="14" t="inlineStr">
        <is>
          <t>무적</t>
        </is>
      </c>
      <c r="G4" s="14" t="inlineStr">
        <is>
          <t>사선 무적</t>
        </is>
      </c>
      <c r="H4" s="14" t="inlineStr">
        <is>
          <t>공격·장전 증가</t>
        </is>
      </c>
      <c r="I4" s="14" t="inlineStr">
        <is>
          <t>상태</t>
        </is>
      </c>
      <c r="J4" s="14" t="inlineStr">
        <is>
          <t>메모</t>
        </is>
      </c>
    </row>
    <row r="5" ht="15" customHeight="1" s="15">
      <c r="A5" s="19" t="n">
        <v>7100</v>
      </c>
      <c r="B5" s="19" t="inlineStr">
        <is>
          <t>공중제비</t>
        </is>
      </c>
      <c r="C5" s="32" t="n">
        <v>35</v>
      </c>
      <c r="D5" s="32" t="n">
        <v>1</v>
      </c>
      <c r="E5" s="32" t="n">
        <v>5</v>
      </c>
      <c r="F5" s="19" t="b">
        <v>1</v>
      </c>
      <c r="G5" s="19" t="b">
        <v>1</v>
      </c>
      <c r="H5" s="33" t="n">
        <v>0</v>
      </c>
      <c r="I5" s="19" t="inlineStr">
        <is>
          <t>확정</t>
        </is>
      </c>
      <c r="J5" s="19" t="inlineStr">
        <is>
          <t>시전 속도 유지, 바라보는 방향</t>
        </is>
      </c>
    </row>
    <row r="6" ht="15" customHeight="1" s="15">
      <c r="A6" s="19" t="n">
        <v>7101</v>
      </c>
      <c r="B6" s="19" t="inlineStr">
        <is>
          <t>유체이탈</t>
        </is>
      </c>
      <c r="C6" s="32" t="n">
        <v>35</v>
      </c>
      <c r="D6" s="32" t="n">
        <v>15</v>
      </c>
      <c r="E6" s="32" t="n">
        <v>10</v>
      </c>
      <c r="F6" s="19" t="b">
        <v>0</v>
      </c>
      <c r="G6" s="19" t="b">
        <v>1</v>
      </c>
      <c r="H6" s="33" t="n">
        <v>0</v>
      </c>
      <c r="I6" s="19" t="inlineStr">
        <is>
          <t>확정</t>
        </is>
      </c>
      <c r="J6" s="19" t="inlineStr">
        <is>
          <t>재시전 순간이동</t>
        </is>
      </c>
    </row>
    <row r="7" ht="15" customHeight="1" s="15">
      <c r="A7" s="19" t="n">
        <v>7102</v>
      </c>
      <c r="B7" s="19" t="inlineStr">
        <is>
          <t>신속태세</t>
        </is>
      </c>
      <c r="C7" s="32" t="n">
        <v>35</v>
      </c>
      <c r="D7" s="32" t="n">
        <v>8</v>
      </c>
      <c r="E7" s="32" t="n">
        <v>15</v>
      </c>
      <c r="F7" s="19" t="b">
        <v>0</v>
      </c>
      <c r="G7" s="19" t="b">
        <v>0</v>
      </c>
      <c r="H7" s="33" t="n">
        <v>0.35</v>
      </c>
      <c r="I7" s="19" t="inlineStr">
        <is>
          <t>확정</t>
        </is>
      </c>
      <c r="J7" s="19" t="inlineStr">
        <is>
          <t>기력 없는 슬라이드 3회</t>
        </is>
      </c>
    </row>
  </sheetData>
  <autoFilter ref="A4:J7"/>
  <mergeCells count="2">
    <mergeCell ref="A1:J1"/>
    <mergeCell ref="A2:J2"/>
  </mergeCells>
  <conditionalFormatting sqref="I5:I7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dataValidations count="1">
    <dataValidation sqref="I5:I7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0" customWidth="1" style="15" min="2" max="2"/>
    <col width="10" customWidth="1" style="15" min="3" max="3"/>
    <col width="10" customWidth="1" style="15" min="4" max="4"/>
    <col width="10" customWidth="1" style="15" min="5" max="5"/>
    <col width="10" customWidth="1" style="15" min="6" max="6"/>
    <col width="10" customWidth="1" style="15" min="7" max="7"/>
    <col width="10" customWidth="1" style="15" min="8" max="8"/>
    <col width="10" customWidth="1" style="15" min="9" max="9"/>
    <col width="10" customWidth="1" style="15" min="10" max="10"/>
    <col width="10" customWidth="1" style="15" min="11" max="11"/>
    <col width="10" customWidth="1" style="15" min="12" max="12"/>
    <col width="10" customWidth="1" style="15" min="13" max="13"/>
    <col width="10" customWidth="1" style="15" min="14" max="14"/>
  </cols>
  <sheetData>
    <row r="1" ht="19.20000076293945" customHeight="1" s="15">
      <c r="A1" s="3" t="inlineStr">
        <is>
          <t>Weapon — 무기 밸런스 입력</t>
        </is>
      </c>
    </row>
    <row r="2" ht="15" customHeight="1" s="15">
      <c r="A2" s="7" t="inlineStr">
        <is>
          <t>무기는 해금 조건 없이 구매 목록에 등장합니다. 빈 수치 셀은 방향이 없는 것이 아니라 기획자가 추후 입력하기로 한 데이터입니다.</t>
        </is>
      </c>
    </row>
    <row r="3"/>
    <row r="4" ht="15" customHeight="1" s="15">
      <c r="A4" s="23" t="inlineStr">
        <is>
          <t>ID</t>
        </is>
      </c>
      <c r="B4" s="23" t="inlineStr">
        <is>
          <t>무기</t>
        </is>
      </c>
      <c r="C4" s="23" t="inlineStr">
        <is>
          <t>광물</t>
        </is>
      </c>
      <c r="D4" s="23" t="inlineStr">
        <is>
          <t>가스</t>
        </is>
      </c>
      <c r="E4" s="23" t="inlineStr">
        <is>
          <t>기본 피해</t>
        </is>
      </c>
      <c r="F4" s="23" t="inlineStr">
        <is>
          <t>발사 간격</t>
        </is>
      </c>
      <c r="G4" s="23" t="inlineStr">
        <is>
          <t>탄창</t>
        </is>
      </c>
      <c r="H4" s="23" t="inlineStr">
        <is>
          <t>장전시간</t>
        </is>
      </c>
      <c r="I4" s="23" t="inlineStr">
        <is>
          <t>사거리</t>
        </is>
      </c>
      <c r="J4" s="23" t="inlineStr">
        <is>
          <t>탄속</t>
        </is>
      </c>
      <c r="K4" s="23" t="inlineStr">
        <is>
          <t>특수 기능 수치</t>
        </is>
      </c>
      <c r="L4" s="23" t="inlineStr">
        <is>
          <t>최대 소지</t>
        </is>
      </c>
      <c r="M4" s="23" t="inlineStr">
        <is>
          <t>상태</t>
        </is>
      </c>
      <c r="N4" s="23" t="inlineStr">
        <is>
          <t>기준 문서</t>
        </is>
      </c>
    </row>
    <row r="5" ht="15" customHeight="1" s="15">
      <c r="A5" s="19" t="n">
        <v>7200</v>
      </c>
      <c r="B5" s="19" t="inlineStr">
        <is>
          <t>쌍권총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>
        <v>1</v>
      </c>
      <c r="M5" s="19" t="inlineStr">
        <is>
          <t>추후 입력</t>
        </is>
      </c>
      <c r="N5" s="19" t="inlineStr">
        <is>
          <t>12 무기 기획</t>
        </is>
      </c>
    </row>
    <row r="6" ht="15" customHeight="1" s="15">
      <c r="A6" s="19" t="n">
        <v>7201</v>
      </c>
      <c r="B6" s="19" t="inlineStr">
        <is>
          <t>산탄총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>
        <v>1</v>
      </c>
      <c r="M6" s="19" t="inlineStr">
        <is>
          <t>추후 입력</t>
        </is>
      </c>
      <c r="N6" s="19" t="inlineStr">
        <is>
          <t>12 무기 기획</t>
        </is>
      </c>
    </row>
    <row r="7" ht="15" customHeight="1" s="15">
      <c r="A7" s="19" t="n">
        <v>7202</v>
      </c>
      <c r="B7" s="19" t="inlineStr">
        <is>
          <t>석궁</t>
        </is>
      </c>
      <c r="C7" s="19" t="n"/>
      <c r="D7" s="19" t="n"/>
      <c r="E7" s="19" t="n"/>
      <c r="F7" s="19" t="n"/>
      <c r="G7" s="19" t="n">
        <v>1</v>
      </c>
      <c r="H7" s="19" t="n"/>
      <c r="I7" s="19" t="n"/>
      <c r="J7" s="19" t="n"/>
      <c r="K7" s="19" t="n"/>
      <c r="L7" s="19" t="n">
        <v>1</v>
      </c>
      <c r="M7" s="19" t="inlineStr">
        <is>
          <t>추후 입력</t>
        </is>
      </c>
      <c r="N7" s="19" t="inlineStr">
        <is>
          <t>12 무기 기획</t>
        </is>
      </c>
    </row>
    <row r="8" ht="15" customHeight="1" s="15">
      <c r="A8" s="19" t="n">
        <v>7203</v>
      </c>
      <c r="B8" s="19" t="inlineStr">
        <is>
          <t>유탄 발사기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>
        <v>1</v>
      </c>
      <c r="M8" s="19" t="inlineStr">
        <is>
          <t>추후 입력</t>
        </is>
      </c>
      <c r="N8" s="19" t="inlineStr">
        <is>
          <t>12 무기 기획</t>
        </is>
      </c>
    </row>
    <row r="9" ht="15" customHeight="1" s="15">
      <c r="A9" s="19" t="n">
        <v>7204</v>
      </c>
      <c r="B9" s="19" t="inlineStr">
        <is>
          <t>화염 방사기</t>
        </is>
      </c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>
        <v>1</v>
      </c>
      <c r="M9" s="19" t="inlineStr">
        <is>
          <t>추후 입력</t>
        </is>
      </c>
      <c r="N9" s="19" t="inlineStr">
        <is>
          <t>12 무기 기획</t>
        </is>
      </c>
    </row>
  </sheetData>
  <autoFilter ref="A4:N9"/>
  <mergeCells count="2">
    <mergeCell ref="A2:N2"/>
    <mergeCell ref="A1:N1"/>
  </mergeCells>
  <conditionalFormatting sqref="M5:M9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dataValidations count="1">
    <dataValidation sqref="M5:M9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0" customWidth="1" style="15" min="2" max="2"/>
    <col width="10" customWidth="1" style="15" min="3" max="3"/>
    <col width="10" customWidth="1" style="15" min="4" max="4"/>
    <col width="10" customWidth="1" style="15" min="5" max="5"/>
    <col width="10" customWidth="1" style="15" min="6" max="6"/>
    <col width="10" customWidth="1" style="15" min="7" max="7"/>
    <col width="10" customWidth="1" style="15" min="8" max="8"/>
    <col width="10" customWidth="1" style="15" min="9" max="9"/>
    <col width="10" customWidth="1" style="15" min="10" max="10"/>
    <col width="10" customWidth="1" style="15" min="11" max="11"/>
    <col width="13" customWidth="1" style="15" min="12" max="12"/>
    <col width="10" customWidth="1" style="15" min="13" max="13"/>
    <col width="10" customWidth="1" style="15" min="14" max="14"/>
    <col width="34" customWidth="1" style="15" min="15" max="15"/>
  </cols>
  <sheetData>
    <row r="1" ht="19.20000076293945" customHeight="1" s="15">
      <c r="A1" s="3" t="inlineStr">
        <is>
          <t>Monster — 몬스터 데이터</t>
        </is>
      </c>
    </row>
    <row r="2" ht="15" customHeight="1" s="15">
      <c r="A2" s="7" t="inlineStr">
        <is>
          <t>행동과 변환 규칙은 07 몬스터 기획을 기준으로 합니다. 체력과 직접 공격 피해는 추후 입력하며 실패 피해는 확정값입니다.</t>
        </is>
      </c>
    </row>
    <row r="3"/>
    <row r="4" ht="15" customHeight="1" s="15">
      <c r="A4" s="14" t="inlineStr">
        <is>
          <t>ID</t>
        </is>
      </c>
      <c r="B4" s="14" t="inlineStr">
        <is>
          <t>구역</t>
        </is>
      </c>
      <c r="C4" s="14" t="inlineStr">
        <is>
          <t>몬스터</t>
        </is>
      </c>
      <c r="D4" s="14" t="inlineStr">
        <is>
          <t>등급</t>
        </is>
      </c>
      <c r="E4" s="14" t="inlineStr">
        <is>
          <t>체력</t>
        </is>
      </c>
      <c r="F4" s="14" t="inlineStr">
        <is>
          <t>접촉 피해</t>
        </is>
      </c>
      <c r="G4" s="14" t="inlineStr">
        <is>
          <t>이동속도 배수</t>
        </is>
      </c>
      <c r="H4" s="14" t="inlineStr">
        <is>
          <t>투사체 피해</t>
        </is>
      </c>
      <c r="I4" s="14" t="inlineStr">
        <is>
          <t>투사체 속도</t>
        </is>
      </c>
      <c r="J4" s="14" t="inlineStr">
        <is>
          <t>발사 간격</t>
        </is>
      </c>
      <c r="K4" s="14" t="inlineStr">
        <is>
          <t>실패 피해</t>
        </is>
      </c>
      <c r="L4" s="14" t="inlineStr">
        <is>
          <t>실패 피해 단위</t>
        </is>
      </c>
      <c r="M4" s="14" t="inlineStr">
        <is>
          <t>토큰 확률</t>
        </is>
      </c>
      <c r="N4" s="14" t="inlineStr">
        <is>
          <t>상태</t>
        </is>
      </c>
      <c r="O4" s="14" t="inlineStr">
        <is>
          <t>메모</t>
        </is>
      </c>
    </row>
    <row r="5" ht="15" customHeight="1" s="15">
      <c r="A5" s="19" t="n">
        <v>5000</v>
      </c>
      <c r="B5" s="19" t="inlineStr">
        <is>
          <t>외부</t>
        </is>
      </c>
      <c r="C5" s="19" t="inlineStr">
        <is>
          <t>기간티아</t>
        </is>
      </c>
      <c r="D5" s="19" t="inlineStr">
        <is>
          <t>배회</t>
        </is>
      </c>
      <c r="E5" s="19" t="n">
        <v>10000</v>
      </c>
      <c r="F5" s="19" t="n"/>
      <c r="G5" s="38" t="n">
        <v>2</v>
      </c>
      <c r="H5" s="38" t="n"/>
      <c r="I5" s="38" t="n"/>
      <c r="J5" s="38" t="n"/>
      <c r="K5" s="19" t="n"/>
      <c r="L5" s="19" t="n"/>
      <c r="M5" s="33" t="n">
        <v>1</v>
      </c>
      <c r="N5" s="19" t="inlineStr">
        <is>
          <t>확정</t>
        </is>
      </c>
      <c r="O5" s="19" t="inlineStr">
        <is>
          <t>처치 시 토큰 1개</t>
        </is>
      </c>
    </row>
    <row r="6" ht="15" customHeight="1" s="15">
      <c r="A6" s="19" t="n">
        <v>5001</v>
      </c>
      <c r="B6" s="19" t="inlineStr">
        <is>
          <t>외부</t>
        </is>
      </c>
      <c r="C6" s="19" t="inlineStr">
        <is>
          <t>스토커</t>
        </is>
      </c>
      <c r="D6" s="19" t="inlineStr">
        <is>
          <t>추격</t>
        </is>
      </c>
      <c r="E6" s="19" t="n">
        <v>1500</v>
      </c>
      <c r="F6" s="19" t="n"/>
      <c r="G6" s="38" t="n">
        <v>1.2</v>
      </c>
      <c r="H6" s="38" t="n"/>
      <c r="I6" s="38" t="n">
        <v>1</v>
      </c>
      <c r="J6" s="38" t="n">
        <v>2</v>
      </c>
      <c r="K6" s="19" t="n"/>
      <c r="L6" s="19" t="n"/>
      <c r="M6" s="33" t="n"/>
      <c r="N6" s="19" t="inlineStr">
        <is>
          <t>확정</t>
        </is>
      </c>
      <c r="O6" s="19" t="inlineStr">
        <is>
          <t>러너 위치 직선 투사체, 공격 간격 2초</t>
        </is>
      </c>
    </row>
    <row r="7" ht="15" customHeight="1" s="15">
      <c r="A7" s="19" t="n">
        <v>5002</v>
      </c>
      <c r="B7" s="19" t="inlineStr">
        <is>
          <t>외부</t>
        </is>
      </c>
      <c r="C7" s="19" t="inlineStr">
        <is>
          <t>스트라이더</t>
        </is>
      </c>
      <c r="D7" s="19" t="inlineStr">
        <is>
          <t>배회</t>
        </is>
      </c>
      <c r="E7" s="19" t="n">
        <v>2500</v>
      </c>
      <c r="F7" s="19" t="n"/>
      <c r="G7" s="38" t="n">
        <v>4.5</v>
      </c>
      <c r="H7" s="38" t="n"/>
      <c r="I7" s="38" t="n"/>
      <c r="J7" s="38" t="n"/>
      <c r="K7" s="19" t="n"/>
      <c r="L7" s="19" t="n"/>
      <c r="M7" s="33" t="n"/>
      <c r="N7" s="19" t="inlineStr">
        <is>
          <t>확정</t>
        </is>
      </c>
      <c r="O7" s="19" t="inlineStr">
        <is>
          <t>정지 후 고정 3타일 슬라이드, 이동속도 최대 4.5</t>
        </is>
      </c>
    </row>
    <row r="8" ht="15" customHeight="1" s="15">
      <c r="A8" s="19" t="n">
        <v>5003</v>
      </c>
      <c r="B8" s="19" t="inlineStr">
        <is>
          <t>외부</t>
        </is>
      </c>
      <c r="C8" s="19" t="inlineStr">
        <is>
          <t>라플라시아</t>
        </is>
      </c>
      <c r="D8" s="19" t="inlineStr">
        <is>
          <t>고정</t>
        </is>
      </c>
      <c r="E8" s="19" t="n"/>
      <c r="F8" s="19" t="n"/>
      <c r="G8" s="38" t="n"/>
      <c r="H8" s="38" t="n"/>
      <c r="I8" s="38" t="n">
        <v>1.5</v>
      </c>
      <c r="J8" s="38" t="n">
        <v>0.75</v>
      </c>
      <c r="K8" s="19" t="n"/>
      <c r="L8" s="19" t="n"/>
      <c r="M8" s="33" t="n"/>
      <c r="N8" s="19" t="inlineStr">
        <is>
          <t>상정</t>
        </is>
      </c>
      <c r="O8" s="19" t="inlineStr">
        <is>
          <t>고정형 탄막. 상세 패턴은 MonsterPattern 시트</t>
        </is>
      </c>
    </row>
    <row r="9" ht="15" customHeight="1" s="15">
      <c r="A9" s="19" t="n">
        <v>5100</v>
      </c>
      <c r="B9" s="19" t="inlineStr">
        <is>
          <t>내부</t>
        </is>
      </c>
      <c r="C9" s="19" t="inlineStr">
        <is>
          <t>워커</t>
        </is>
      </c>
      <c r="D9" s="19" t="inlineStr">
        <is>
          <t>일반</t>
        </is>
      </c>
      <c r="E9" s="19" t="n">
        <v>1000</v>
      </c>
      <c r="F9" s="19" t="n">
        <v>10</v>
      </c>
      <c r="G9" s="38" t="n">
        <v>0.75</v>
      </c>
      <c r="H9" s="38" t="n"/>
      <c r="I9" s="38" t="n"/>
      <c r="J9" s="38" t="n"/>
      <c r="K9" s="36" t="n">
        <v>10</v>
      </c>
      <c r="L9" s="19" t="inlineStr">
        <is>
          <t>HP</t>
        </is>
      </c>
      <c r="M9" s="33" t="n"/>
      <c r="N9" s="19" t="inlineStr">
        <is>
          <t>확정</t>
        </is>
      </c>
      <c r="O9" s="19" t="inlineStr">
        <is>
          <t>일반 내부 몬스터</t>
        </is>
      </c>
    </row>
    <row r="10" ht="15" customHeight="1" s="15">
      <c r="A10" s="19" t="n">
        <v>5101</v>
      </c>
      <c r="B10" s="19" t="inlineStr">
        <is>
          <t>내부</t>
        </is>
      </c>
      <c r="C10" s="19" t="inlineStr">
        <is>
          <t>프레데터</t>
        </is>
      </c>
      <c r="D10" s="19" t="inlineStr">
        <is>
          <t>정예</t>
        </is>
      </c>
      <c r="E10" s="19" t="n">
        <v>10000</v>
      </c>
      <c r="F10" s="19" t="n">
        <v>30</v>
      </c>
      <c r="G10" s="38" t="n">
        <v>1</v>
      </c>
      <c r="H10" s="38" t="n"/>
      <c r="I10" s="38" t="n"/>
      <c r="J10" s="38" t="n"/>
      <c r="K10" s="36" t="n">
        <v>30</v>
      </c>
      <c r="L10" s="19" t="inlineStr">
        <is>
          <t>HP</t>
        </is>
      </c>
      <c r="M10" s="33" t="n">
        <v>0.3</v>
      </c>
      <c r="N10" s="19" t="inlineStr">
        <is>
          <t>확정</t>
        </is>
      </c>
      <c r="O10" s="19" t="inlineStr">
        <is>
          <t>정예 내부 몬스터</t>
        </is>
      </c>
    </row>
    <row r="11" ht="15" customHeight="1" s="15">
      <c r="A11" s="19" t="n">
        <v>5102</v>
      </c>
      <c r="B11" s="19" t="inlineStr">
        <is>
          <t>내부</t>
        </is>
      </c>
      <c r="C11" s="19" t="inlineStr">
        <is>
          <t>인베이더</t>
        </is>
      </c>
      <c r="D11" s="19" t="inlineStr">
        <is>
          <t>보스</t>
        </is>
      </c>
      <c r="E11" s="19" t="n">
        <v>20000</v>
      </c>
      <c r="F11" s="19" t="n"/>
      <c r="G11" s="38" t="n">
        <v>0.5</v>
      </c>
      <c r="H11" s="38" t="n"/>
      <c r="I11" s="38" t="n"/>
      <c r="J11" s="38" t="n"/>
      <c r="K11" s="33" t="n">
        <v>0.5</v>
      </c>
      <c r="L11" s="19" t="inlineStr">
        <is>
          <t>러너 최대 HP 비율</t>
        </is>
      </c>
      <c r="M11" s="33" t="n"/>
      <c r="N11" s="19" t="inlineStr">
        <is>
          <t>확정</t>
        </is>
      </c>
      <c r="O11" s="19" t="inlineStr">
        <is>
          <t>보스. 반전 면역</t>
        </is>
      </c>
    </row>
    <row r="12" ht="15" customHeight="1" s="15">
      <c r="A12" s="19" t="n">
        <v>5103</v>
      </c>
      <c r="B12" s="19" t="inlineStr">
        <is>
          <t>내부</t>
        </is>
      </c>
      <c r="C12" s="19" t="inlineStr">
        <is>
          <t>하드워커</t>
        </is>
      </c>
      <c r="D12" s="19" t="inlineStr">
        <is>
          <t>특수</t>
        </is>
      </c>
      <c r="E12" s="19" t="n">
        <v>5000</v>
      </c>
      <c r="F12" s="19" t="n"/>
      <c r="G12" s="38" t="n">
        <v>0.75</v>
      </c>
      <c r="H12" s="38" t="n"/>
      <c r="I12" s="38" t="n"/>
      <c r="J12" s="38" t="n"/>
      <c r="K12" s="19" t="n"/>
      <c r="L12" s="19" t="n"/>
      <c r="M12" s="33" t="n"/>
      <c r="N12" s="19" t="inlineStr">
        <is>
          <t>확정</t>
        </is>
      </c>
      <c r="O12" s="19" t="inlineStr">
        <is>
          <t>추후 세부 기능 입력</t>
        </is>
      </c>
    </row>
  </sheetData>
  <autoFilter ref="A4:O12"/>
  <mergeCells count="2">
    <mergeCell ref="A1:O1"/>
    <mergeCell ref="A2:O2"/>
  </mergeCells>
  <conditionalFormatting sqref="N5:N12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dataValidations count="1">
    <dataValidation sqref="N5:N12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0" customWidth="1" style="15" min="2" max="2"/>
    <col width="10" customWidth="1" style="15" min="3" max="3"/>
    <col width="10" customWidth="1" style="15" min="4" max="4"/>
    <col width="34" customWidth="1" style="15" min="5" max="5"/>
    <col width="10" customWidth="1" style="15" min="6" max="6"/>
    <col width="15" customWidth="1" style="15" min="7" max="7"/>
    <col width="10" customWidth="1" style="15" min="8" max="8"/>
    <col width="11" customWidth="1" style="15" min="9" max="9"/>
    <col width="15" customWidth="1" style="15" min="10" max="10"/>
  </cols>
  <sheetData>
    <row r="1" ht="19.20000076293945" customHeight="1" s="15">
      <c r="A1" s="3" t="inlineStr">
        <is>
          <t>Wave — 등장 시간표</t>
        </is>
      </c>
    </row>
    <row r="2" ht="15" customHeight="1" s="15">
      <c r="A2" s="7" t="inlineStr">
        <is>
          <t>한 행은 한 번의 등장 이벤트입니다. 절대 시각은 웨이브 시작 시각과 웨이브 내부 오프셋을 더한 수식입니다.</t>
        </is>
      </c>
    </row>
    <row r="3"/>
    <row r="4" ht="15" customHeight="1" s="15">
      <c r="A4" s="14" t="inlineStr">
        <is>
          <t>이벤트 ID</t>
        </is>
      </c>
      <c r="B4" s="14" t="inlineStr">
        <is>
          <t>웨이브</t>
        </is>
      </c>
      <c r="C4" s="14" t="inlineStr">
        <is>
          <t>웨이브 시작</t>
        </is>
      </c>
      <c r="D4" s="14" t="inlineStr">
        <is>
          <t>내부 시각</t>
        </is>
      </c>
      <c r="E4" s="14" t="inlineStr">
        <is>
          <t>절대 시각</t>
        </is>
      </c>
      <c r="F4" s="14" t="inlineStr">
        <is>
          <t>등급</t>
        </is>
      </c>
      <c r="G4" s="14" t="inlineStr">
        <is>
          <t>수량</t>
        </is>
      </c>
      <c r="H4" s="14" t="inlineStr">
        <is>
          <t>상태</t>
        </is>
      </c>
      <c r="I4" s="14" t="inlineStr">
        <is>
          <t>메모</t>
        </is>
      </c>
      <c r="J4" s="14" t="inlineStr">
        <is>
          <t>기준 문서</t>
        </is>
      </c>
    </row>
    <row r="5" ht="21.60000038146973" customHeight="1" s="15">
      <c r="A5" s="19" t="inlineStr">
        <is>
          <t>WV001</t>
        </is>
      </c>
      <c r="B5" s="19" t="n">
        <v>1</v>
      </c>
      <c r="C5" s="32" t="n">
        <v>30</v>
      </c>
      <c r="D5" s="32" t="n">
        <v>0</v>
      </c>
      <c r="E5" s="32">
        <f>IF(COUNT(C5:D5)&lt;2,"",C5+D5)</f>
        <v/>
      </c>
      <c r="F5" s="19" t="inlineStr">
        <is>
          <t>일반</t>
        </is>
      </c>
      <c r="G5" s="32" t="n">
        <v>5</v>
      </c>
      <c r="H5" s="19" t="inlineStr">
        <is>
          <t>확정</t>
        </is>
      </c>
      <c r="I5" s="19" t="str"/>
      <c r="J5" s="19" t="inlineStr">
        <is>
          <t>06 스테이지 및 웨이브</t>
        </is>
      </c>
    </row>
    <row r="6" ht="21.60000038146973" customHeight="1" s="15">
      <c r="A6" s="19" t="inlineStr">
        <is>
          <t>WV002</t>
        </is>
      </c>
      <c r="B6" s="19" t="n">
        <v>1</v>
      </c>
      <c r="C6" s="32" t="n">
        <v>30</v>
      </c>
      <c r="D6" s="32" t="n">
        <v>20</v>
      </c>
      <c r="E6" s="32">
        <f>IF(COUNT(C6:D6)&lt;2,"",C6+D6)</f>
        <v/>
      </c>
      <c r="F6" s="19" t="inlineStr">
        <is>
          <t>일반</t>
        </is>
      </c>
      <c r="G6" s="32" t="n">
        <v>5</v>
      </c>
      <c r="H6" s="19" t="inlineStr">
        <is>
          <t>확정</t>
        </is>
      </c>
      <c r="I6" s="19" t="str"/>
      <c r="J6" s="19" t="inlineStr">
        <is>
          <t>06 스테이지 및 웨이브</t>
        </is>
      </c>
    </row>
    <row r="7" ht="21.60000038146973" customHeight="1" s="15">
      <c r="A7" s="19" t="inlineStr">
        <is>
          <t>WV003</t>
        </is>
      </c>
      <c r="B7" s="19" t="n">
        <v>1</v>
      </c>
      <c r="C7" s="32" t="n">
        <v>30</v>
      </c>
      <c r="D7" s="32" t="n">
        <v>40</v>
      </c>
      <c r="E7" s="32">
        <f>IF(COUNT(C7:D7)&lt;2,"",C7+D7)</f>
        <v/>
      </c>
      <c r="F7" s="19" t="inlineStr">
        <is>
          <t>일반</t>
        </is>
      </c>
      <c r="G7" s="32" t="n">
        <v>5</v>
      </c>
      <c r="H7" s="19" t="inlineStr">
        <is>
          <t>확정</t>
        </is>
      </c>
      <c r="I7" s="19" t="str"/>
      <c r="J7" s="19" t="inlineStr">
        <is>
          <t>06 스테이지 및 웨이브</t>
        </is>
      </c>
    </row>
    <row r="8" ht="21.60000038146973" customHeight="1" s="15">
      <c r="A8" s="19" t="inlineStr">
        <is>
          <t>WV004</t>
        </is>
      </c>
      <c r="B8" s="19" t="n">
        <v>1</v>
      </c>
      <c r="C8" s="32" t="n">
        <v>30</v>
      </c>
      <c r="D8" s="32" t="n">
        <v>60</v>
      </c>
      <c r="E8" s="32">
        <f>IF(COUNT(C8:D8)&lt;2,"",C8+D8)</f>
        <v/>
      </c>
      <c r="F8" s="19" t="inlineStr">
        <is>
          <t>정예</t>
        </is>
      </c>
      <c r="G8" s="32" t="n">
        <v>3</v>
      </c>
      <c r="H8" s="19" t="inlineStr">
        <is>
          <t>확정</t>
        </is>
      </c>
      <c r="I8" s="19" t="str"/>
      <c r="J8" s="19" t="inlineStr">
        <is>
          <t>06 스테이지 및 웨이브</t>
        </is>
      </c>
    </row>
    <row r="9" ht="21.60000038146973" customHeight="1" s="15">
      <c r="A9" s="19" t="inlineStr">
        <is>
          <t>WV005</t>
        </is>
      </c>
      <c r="B9" s="19" t="n">
        <v>1</v>
      </c>
      <c r="C9" s="32" t="n">
        <v>30</v>
      </c>
      <c r="D9" s="32" t="n">
        <v>80</v>
      </c>
      <c r="E9" s="32">
        <f>IF(COUNT(C9:D9)&lt;2,"",C9+D9)</f>
        <v/>
      </c>
      <c r="F9" s="19" t="inlineStr">
        <is>
          <t>일반</t>
        </is>
      </c>
      <c r="G9" s="32" t="n">
        <v>5</v>
      </c>
      <c r="H9" s="19" t="inlineStr">
        <is>
          <t>확정</t>
        </is>
      </c>
      <c r="I9" s="19" t="str"/>
      <c r="J9" s="19" t="inlineStr">
        <is>
          <t>06 스테이지 및 웨이브</t>
        </is>
      </c>
    </row>
    <row r="10" ht="21.60000038146973" customHeight="1" s="15">
      <c r="A10" s="19" t="inlineStr">
        <is>
          <t>WV006</t>
        </is>
      </c>
      <c r="B10" s="19" t="n">
        <v>1</v>
      </c>
      <c r="C10" s="32" t="n">
        <v>30</v>
      </c>
      <c r="D10" s="32" t="n">
        <v>100</v>
      </c>
      <c r="E10" s="32">
        <f>IF(COUNT(C10:D10)&lt;2,"",C10+D10)</f>
        <v/>
      </c>
      <c r="F10" s="19" t="inlineStr">
        <is>
          <t>일반</t>
        </is>
      </c>
      <c r="G10" s="32" t="n">
        <v>5</v>
      </c>
      <c r="H10" s="19" t="inlineStr">
        <is>
          <t>확정</t>
        </is>
      </c>
      <c r="I10" s="19" t="str"/>
      <c r="J10" s="19" t="inlineStr">
        <is>
          <t>06 스테이지 및 웨이브</t>
        </is>
      </c>
    </row>
    <row r="11" ht="21.60000038146973" customHeight="1" s="15">
      <c r="A11" s="19" t="inlineStr">
        <is>
          <t>WV007</t>
        </is>
      </c>
      <c r="B11" s="19" t="n">
        <v>1</v>
      </c>
      <c r="C11" s="32" t="n">
        <v>30</v>
      </c>
      <c r="D11" s="32" t="n">
        <v>120</v>
      </c>
      <c r="E11" s="32">
        <f>IF(COUNT(C11:D11)&lt;2,"",C11+D11)</f>
        <v/>
      </c>
      <c r="F11" s="19" t="inlineStr">
        <is>
          <t>일반</t>
        </is>
      </c>
      <c r="G11" s="32" t="n">
        <v>5</v>
      </c>
      <c r="H11" s="19" t="inlineStr">
        <is>
          <t>확정</t>
        </is>
      </c>
      <c r="I11" s="19" t="str"/>
      <c r="J11" s="19" t="inlineStr">
        <is>
          <t>06 스테이지 및 웨이브</t>
        </is>
      </c>
    </row>
    <row r="12" ht="21.60000038146973" customHeight="1" s="15">
      <c r="A12" s="19" t="inlineStr">
        <is>
          <t>WV008</t>
        </is>
      </c>
      <c r="B12" s="19" t="n">
        <v>1</v>
      </c>
      <c r="C12" s="32" t="n">
        <v>30</v>
      </c>
      <c r="D12" s="32" t="n">
        <v>140</v>
      </c>
      <c r="E12" s="32">
        <f>IF(COUNT(C12:D12)&lt;2,"",C12+D12)</f>
        <v/>
      </c>
      <c r="F12" s="19" t="inlineStr">
        <is>
          <t>일반</t>
        </is>
      </c>
      <c r="G12" s="32" t="n">
        <v>5</v>
      </c>
      <c r="H12" s="19" t="inlineStr">
        <is>
          <t>확정</t>
        </is>
      </c>
      <c r="I12" s="19" t="str"/>
      <c r="J12" s="19" t="inlineStr">
        <is>
          <t>06 스테이지 및 웨이브</t>
        </is>
      </c>
    </row>
    <row r="13" ht="21.60000038146973" customHeight="1" s="15">
      <c r="A13" s="19" t="inlineStr">
        <is>
          <t>WV009</t>
        </is>
      </c>
      <c r="B13" s="19" t="n">
        <v>1</v>
      </c>
      <c r="C13" s="32" t="n">
        <v>30</v>
      </c>
      <c r="D13" s="32" t="n">
        <v>160</v>
      </c>
      <c r="E13" s="32">
        <f>IF(COUNT(C13:D13)&lt;2,"",C13+D13)</f>
        <v/>
      </c>
      <c r="F13" s="19" t="inlineStr">
        <is>
          <t>일반</t>
        </is>
      </c>
      <c r="G13" s="32" t="n">
        <v>5</v>
      </c>
      <c r="H13" s="19" t="inlineStr">
        <is>
          <t>확정</t>
        </is>
      </c>
      <c r="I13" s="19" t="str"/>
      <c r="J13" s="19" t="inlineStr">
        <is>
          <t>06 스테이지 및 웨이브</t>
        </is>
      </c>
    </row>
    <row r="14" ht="21.60000038146973" customHeight="1" s="15">
      <c r="A14" s="19" t="inlineStr">
        <is>
          <t>WV010</t>
        </is>
      </c>
      <c r="B14" s="19" t="n">
        <v>2</v>
      </c>
      <c r="C14" s="32" t="n">
        <v>240</v>
      </c>
      <c r="D14" s="32" t="n">
        <v>0</v>
      </c>
      <c r="E14" s="32">
        <f>IF(COUNT(C14:D14)&lt;2,"",C14+D14)</f>
        <v/>
      </c>
      <c r="F14" s="19" t="inlineStr">
        <is>
          <t>일반</t>
        </is>
      </c>
      <c r="G14" s="32" t="n">
        <v>10</v>
      </c>
      <c r="H14" s="19" t="inlineStr">
        <is>
          <t>확정</t>
        </is>
      </c>
      <c r="I14" s="19" t="str"/>
      <c r="J14" s="19" t="inlineStr">
        <is>
          <t>06 스테이지 및 웨이브</t>
        </is>
      </c>
    </row>
    <row r="15" ht="21.60000038146973" customHeight="1" s="15">
      <c r="A15" s="19" t="inlineStr">
        <is>
          <t>WV011</t>
        </is>
      </c>
      <c r="B15" s="19" t="n">
        <v>2</v>
      </c>
      <c r="C15" s="32" t="n">
        <v>240</v>
      </c>
      <c r="D15" s="32" t="n">
        <v>20</v>
      </c>
      <c r="E15" s="32">
        <f>IF(COUNT(C15:D15)&lt;2,"",C15+D15)</f>
        <v/>
      </c>
      <c r="F15" s="19" t="inlineStr">
        <is>
          <t>일반</t>
        </is>
      </c>
      <c r="G15" s="32" t="n">
        <v>10</v>
      </c>
      <c r="H15" s="19" t="inlineStr">
        <is>
          <t>확정</t>
        </is>
      </c>
      <c r="I15" s="19" t="str"/>
      <c r="J15" s="19" t="inlineStr">
        <is>
          <t>06 스테이지 및 웨이브</t>
        </is>
      </c>
    </row>
    <row r="16" ht="21.60000038146973" customHeight="1" s="15">
      <c r="A16" s="19" t="inlineStr">
        <is>
          <t>WV012</t>
        </is>
      </c>
      <c r="B16" s="19" t="n">
        <v>2</v>
      </c>
      <c r="C16" s="32" t="n">
        <v>240</v>
      </c>
      <c r="D16" s="32" t="n">
        <v>40</v>
      </c>
      <c r="E16" s="32">
        <f>IF(COUNT(C16:D16)&lt;2,"",C16+D16)</f>
        <v/>
      </c>
      <c r="F16" s="19" t="inlineStr">
        <is>
          <t>일반</t>
        </is>
      </c>
      <c r="G16" s="32" t="n">
        <v>10</v>
      </c>
      <c r="H16" s="19" t="inlineStr">
        <is>
          <t>확정</t>
        </is>
      </c>
      <c r="I16" s="19" t="str"/>
      <c r="J16" s="19" t="inlineStr">
        <is>
          <t>06 스테이지 및 웨이브</t>
        </is>
      </c>
    </row>
    <row r="17" ht="21.60000038146973" customHeight="1" s="15">
      <c r="A17" s="19" t="inlineStr">
        <is>
          <t>WV013</t>
        </is>
      </c>
      <c r="B17" s="19" t="n">
        <v>2</v>
      </c>
      <c r="C17" s="32" t="n">
        <v>240</v>
      </c>
      <c r="D17" s="32" t="n">
        <v>60</v>
      </c>
      <c r="E17" s="32">
        <f>IF(COUNT(C17:D17)&lt;2,"",C17+D17)</f>
        <v/>
      </c>
      <c r="F17" s="19" t="inlineStr">
        <is>
          <t>일반</t>
        </is>
      </c>
      <c r="G17" s="32" t="n">
        <v>5</v>
      </c>
      <c r="H17" s="19" t="inlineStr">
        <is>
          <t>확정</t>
        </is>
      </c>
      <c r="I17" s="19" t="str"/>
      <c r="J17" s="19" t="inlineStr">
        <is>
          <t>06 스테이지 및 웨이브</t>
        </is>
      </c>
    </row>
    <row r="18" ht="21.60000038146973" customHeight="1" s="15">
      <c r="A18" s="19" t="inlineStr">
        <is>
          <t>WV014</t>
        </is>
      </c>
      <c r="B18" s="19" t="n">
        <v>2</v>
      </c>
      <c r="C18" s="32" t="n">
        <v>240</v>
      </c>
      <c r="D18" s="32" t="n">
        <v>60</v>
      </c>
      <c r="E18" s="32">
        <f>IF(COUNT(C18:D18)&lt;2,"",C18+D18)</f>
        <v/>
      </c>
      <c r="F18" s="19" t="inlineStr">
        <is>
          <t>정예</t>
        </is>
      </c>
      <c r="G18" s="32" t="n">
        <v>6</v>
      </c>
      <c r="H18" s="19" t="inlineStr">
        <is>
          <t>확정</t>
        </is>
      </c>
      <c r="I18" s="19" t="str"/>
      <c r="J18" s="19" t="inlineStr">
        <is>
          <t>06 스테이지 및 웨이브</t>
        </is>
      </c>
    </row>
    <row r="19" ht="21.60000038146973" customHeight="1" s="15">
      <c r="A19" s="19" t="inlineStr">
        <is>
          <t>WV015</t>
        </is>
      </c>
      <c r="B19" s="19" t="n">
        <v>2</v>
      </c>
      <c r="C19" s="32" t="n">
        <v>240</v>
      </c>
      <c r="D19" s="32" t="n">
        <v>80</v>
      </c>
      <c r="E19" s="32">
        <f>IF(COUNT(C19:D19)&lt;2,"",C19+D19)</f>
        <v/>
      </c>
      <c r="F19" s="19" t="inlineStr">
        <is>
          <t>일반</t>
        </is>
      </c>
      <c r="G19" s="32" t="n">
        <v>5</v>
      </c>
      <c r="H19" s="19" t="inlineStr">
        <is>
          <t>확정</t>
        </is>
      </c>
      <c r="I19" s="19" t="str"/>
      <c r="J19" s="19" t="inlineStr">
        <is>
          <t>06 스테이지 및 웨이브</t>
        </is>
      </c>
    </row>
    <row r="20" ht="21.60000038146973" customHeight="1" s="15">
      <c r="A20" s="19" t="inlineStr">
        <is>
          <t>WV016</t>
        </is>
      </c>
      <c r="B20" s="19" t="n">
        <v>2</v>
      </c>
      <c r="C20" s="32" t="n">
        <v>240</v>
      </c>
      <c r="D20" s="32" t="n">
        <v>100</v>
      </c>
      <c r="E20" s="32">
        <f>IF(COUNT(C20:D20)&lt;2,"",C20+D20)</f>
        <v/>
      </c>
      <c r="F20" s="19" t="inlineStr">
        <is>
          <t>일반</t>
        </is>
      </c>
      <c r="G20" s="32" t="n">
        <v>5</v>
      </c>
      <c r="H20" s="19" t="inlineStr">
        <is>
          <t>확정</t>
        </is>
      </c>
      <c r="I20" s="19" t="str"/>
      <c r="J20" s="19" t="inlineStr">
        <is>
          <t>06 스테이지 및 웨이브</t>
        </is>
      </c>
    </row>
    <row r="21" ht="21.60000038146973" customHeight="1" s="15">
      <c r="A21" s="19" t="inlineStr">
        <is>
          <t>WV017</t>
        </is>
      </c>
      <c r="B21" s="19" t="n">
        <v>2</v>
      </c>
      <c r="C21" s="32" t="n">
        <v>240</v>
      </c>
      <c r="D21" s="32" t="n">
        <v>120</v>
      </c>
      <c r="E21" s="32">
        <f>IF(COUNT(C21:D21)&lt;2,"",C21+D21)</f>
        <v/>
      </c>
      <c r="F21" s="19" t="inlineStr">
        <is>
          <t>일반</t>
        </is>
      </c>
      <c r="G21" s="32" t="n">
        <v>5</v>
      </c>
      <c r="H21" s="19" t="inlineStr">
        <is>
          <t>확정</t>
        </is>
      </c>
      <c r="I21" s="19" t="str"/>
      <c r="J21" s="19" t="inlineStr">
        <is>
          <t>06 스테이지 및 웨이브</t>
        </is>
      </c>
    </row>
    <row r="22" ht="21.60000038146973" customHeight="1" s="15">
      <c r="A22" s="19" t="inlineStr">
        <is>
          <t>WV018</t>
        </is>
      </c>
      <c r="B22" s="19" t="n">
        <v>2</v>
      </c>
      <c r="C22" s="32" t="n">
        <v>240</v>
      </c>
      <c r="D22" s="32" t="n">
        <v>140</v>
      </c>
      <c r="E22" s="32">
        <f>IF(COUNT(C22:D22)&lt;2,"",C22+D22)</f>
        <v/>
      </c>
      <c r="F22" s="19" t="inlineStr">
        <is>
          <t>일반</t>
        </is>
      </c>
      <c r="G22" s="32" t="n">
        <v>5</v>
      </c>
      <c r="H22" s="19" t="inlineStr">
        <is>
          <t>확정</t>
        </is>
      </c>
      <c r="I22" s="19" t="str"/>
      <c r="J22" s="19" t="inlineStr">
        <is>
          <t>06 스테이지 및 웨이브</t>
        </is>
      </c>
    </row>
    <row r="23" ht="21.60000038146973" customHeight="1" s="15">
      <c r="A23" s="19" t="inlineStr">
        <is>
          <t>WV019</t>
        </is>
      </c>
      <c r="B23" s="19" t="n">
        <v>2</v>
      </c>
      <c r="C23" s="32" t="n">
        <v>240</v>
      </c>
      <c r="D23" s="32" t="n">
        <v>160</v>
      </c>
      <c r="E23" s="32">
        <f>IF(COUNT(C23:D23)&lt;2,"",C23+D23)</f>
        <v/>
      </c>
      <c r="F23" s="19" t="inlineStr">
        <is>
          <t>일반</t>
        </is>
      </c>
      <c r="G23" s="32" t="n">
        <v>5</v>
      </c>
      <c r="H23" s="19" t="inlineStr">
        <is>
          <t>확정</t>
        </is>
      </c>
      <c r="I23" s="19" t="str"/>
      <c r="J23" s="19" t="inlineStr">
        <is>
          <t>06 스테이지 및 웨이브</t>
        </is>
      </c>
    </row>
    <row r="24" ht="21.60000038146973" customHeight="1" s="15">
      <c r="A24" s="19" t="inlineStr">
        <is>
          <t>WV020</t>
        </is>
      </c>
      <c r="B24" s="19" t="n">
        <v>3</v>
      </c>
      <c r="C24" s="32" t="n">
        <v>450</v>
      </c>
      <c r="D24" s="32" t="n">
        <v>0</v>
      </c>
      <c r="E24" s="32">
        <f>IF(COUNT(C24:D24)&lt;2,"",C24+D24)</f>
        <v/>
      </c>
      <c r="F24" s="19" t="inlineStr">
        <is>
          <t>정예</t>
        </is>
      </c>
      <c r="G24" s="32" t="n">
        <v>9</v>
      </c>
      <c r="H24" s="19" t="inlineStr">
        <is>
          <t>확정</t>
        </is>
      </c>
      <c r="I24" s="19" t="str"/>
      <c r="J24" s="19" t="inlineStr">
        <is>
          <t>06 스테이지 및 웨이브</t>
        </is>
      </c>
    </row>
    <row r="25" ht="21.60000038146973" customHeight="1" s="15">
      <c r="A25" s="19" t="inlineStr">
        <is>
          <t>WV021</t>
        </is>
      </c>
      <c r="B25" s="19" t="n">
        <v>3</v>
      </c>
      <c r="C25" s="32" t="n">
        <v>450</v>
      </c>
      <c r="D25" s="32" t="n">
        <v>60</v>
      </c>
      <c r="E25" s="32">
        <f>IF(COUNT(C25:D25)&lt;2,"",C25+D25)</f>
        <v/>
      </c>
      <c r="F25" s="19" t="inlineStr">
        <is>
          <t>일반</t>
        </is>
      </c>
      <c r="G25" s="32" t="n">
        <v>10</v>
      </c>
      <c r="H25" s="19" t="inlineStr">
        <is>
          <t>확정</t>
        </is>
      </c>
      <c r="I25" s="19" t="str"/>
      <c r="J25" s="19" t="inlineStr">
        <is>
          <t>06 스테이지 및 웨이브</t>
        </is>
      </c>
    </row>
    <row r="26" ht="21.60000038146973" customHeight="1" s="15">
      <c r="A26" s="19" t="inlineStr">
        <is>
          <t>WV022</t>
        </is>
      </c>
      <c r="B26" s="19" t="n">
        <v>3</v>
      </c>
      <c r="C26" s="32" t="n">
        <v>450</v>
      </c>
      <c r="D26" s="32" t="n">
        <v>70</v>
      </c>
      <c r="E26" s="32">
        <f>IF(COUNT(C26:D26)&lt;2,"",C26+D26)</f>
        <v/>
      </c>
      <c r="F26" s="19" t="inlineStr">
        <is>
          <t>일반</t>
        </is>
      </c>
      <c r="G26" s="32" t="n">
        <v>10</v>
      </c>
      <c r="H26" s="19" t="inlineStr">
        <is>
          <t>확정</t>
        </is>
      </c>
      <c r="I26" s="19" t="str"/>
      <c r="J26" s="19" t="inlineStr">
        <is>
          <t>06 스테이지 및 웨이브</t>
        </is>
      </c>
    </row>
    <row r="27" ht="21.60000038146973" customHeight="1" s="15">
      <c r="A27" s="19" t="inlineStr">
        <is>
          <t>WV023</t>
        </is>
      </c>
      <c r="B27" s="19" t="n">
        <v>3</v>
      </c>
      <c r="C27" s="32" t="n">
        <v>450</v>
      </c>
      <c r="D27" s="32" t="n">
        <v>80</v>
      </c>
      <c r="E27" s="32">
        <f>IF(COUNT(C27:D27)&lt;2,"",C27+D27)</f>
        <v/>
      </c>
      <c r="F27" s="19" t="inlineStr">
        <is>
          <t>일반</t>
        </is>
      </c>
      <c r="G27" s="32" t="n">
        <v>10</v>
      </c>
      <c r="H27" s="19" t="inlineStr">
        <is>
          <t>확정</t>
        </is>
      </c>
      <c r="I27" s="19" t="str"/>
      <c r="J27" s="19" t="inlineStr">
        <is>
          <t>06 스테이지 및 웨이브</t>
        </is>
      </c>
    </row>
    <row r="28" ht="21.60000038146973" customHeight="1" s="15">
      <c r="A28" s="19" t="inlineStr">
        <is>
          <t>WV024</t>
        </is>
      </c>
      <c r="B28" s="19" t="n">
        <v>3</v>
      </c>
      <c r="C28" s="32" t="n">
        <v>450</v>
      </c>
      <c r="D28" s="32" t="n">
        <v>90</v>
      </c>
      <c r="E28" s="32">
        <f>IF(COUNT(C28:D28)&lt;2,"",C28+D28)</f>
        <v/>
      </c>
      <c r="F28" s="19" t="inlineStr">
        <is>
          <t>보스</t>
        </is>
      </c>
      <c r="G28" s="32" t="n">
        <v>1</v>
      </c>
      <c r="H28" s="19" t="inlineStr">
        <is>
          <t>확정</t>
        </is>
      </c>
      <c r="I28" s="19" t="str"/>
      <c r="J28" s="19" t="inlineStr">
        <is>
          <t>06 스테이지 및 웨이브</t>
        </is>
      </c>
    </row>
    <row r="29" ht="21.60000038146973" customHeight="1" s="15">
      <c r="A29" s="19" t="inlineStr">
        <is>
          <t>WV025</t>
        </is>
      </c>
      <c r="B29" s="19" t="n">
        <v>4</v>
      </c>
      <c r="C29" s="32" t="n">
        <v>660</v>
      </c>
      <c r="D29" s="32" t="n">
        <v>0</v>
      </c>
      <c r="E29" s="32">
        <f>IF(COUNT(C29:D29)&lt;2,"",C29+D29)</f>
        <v/>
      </c>
      <c r="F29" s="19" t="inlineStr">
        <is>
          <t>정예</t>
        </is>
      </c>
      <c r="G29" s="32" t="n">
        <v>6</v>
      </c>
      <c r="H29" s="19" t="inlineStr">
        <is>
          <t>확정</t>
        </is>
      </c>
      <c r="I29" s="19" t="str"/>
      <c r="J29" s="19" t="inlineStr">
        <is>
          <t>06 스테이지 및 웨이브</t>
        </is>
      </c>
    </row>
    <row r="30" ht="21.60000038146973" customHeight="1" s="15">
      <c r="A30" s="19" t="inlineStr">
        <is>
          <t>WV026</t>
        </is>
      </c>
      <c r="B30" s="19" t="n">
        <v>4</v>
      </c>
      <c r="C30" s="32" t="n">
        <v>660</v>
      </c>
      <c r="D30" s="32" t="n">
        <v>10</v>
      </c>
      <c r="E30" s="32">
        <f>IF(COUNT(C30:D30)&lt;2,"",C30+D30)</f>
        <v/>
      </c>
      <c r="F30" s="19" t="inlineStr">
        <is>
          <t>일반</t>
        </is>
      </c>
      <c r="G30" s="32" t="n">
        <v>15</v>
      </c>
      <c r="H30" s="19" t="inlineStr">
        <is>
          <t>확정</t>
        </is>
      </c>
      <c r="I30" s="19" t="str"/>
      <c r="J30" s="19" t="inlineStr">
        <is>
          <t>06 스테이지 및 웨이브</t>
        </is>
      </c>
    </row>
    <row r="31" ht="21.60000038146973" customHeight="1" s="15">
      <c r="A31" s="19" t="inlineStr">
        <is>
          <t>WV027</t>
        </is>
      </c>
      <c r="B31" s="19" t="n">
        <v>4</v>
      </c>
      <c r="C31" s="32" t="n">
        <v>660</v>
      </c>
      <c r="D31" s="32" t="n">
        <v>30</v>
      </c>
      <c r="E31" s="32">
        <f>IF(COUNT(C31:D31)&lt;2,"",C31+D31)</f>
        <v/>
      </c>
      <c r="F31" s="19" t="inlineStr">
        <is>
          <t>일반</t>
        </is>
      </c>
      <c r="G31" s="32" t="n">
        <v>15</v>
      </c>
      <c r="H31" s="19" t="inlineStr">
        <is>
          <t>확정</t>
        </is>
      </c>
      <c r="I31" s="19" t="str"/>
      <c r="J31" s="19" t="inlineStr">
        <is>
          <t>06 스테이지 및 웨이브</t>
        </is>
      </c>
    </row>
    <row r="32" ht="21.60000038146973" customHeight="1" s="15">
      <c r="A32" s="19" t="inlineStr">
        <is>
          <t>WV028</t>
        </is>
      </c>
      <c r="B32" s="19" t="n">
        <v>4</v>
      </c>
      <c r="C32" s="32" t="n">
        <v>660</v>
      </c>
      <c r="D32" s="32" t="n">
        <v>50</v>
      </c>
      <c r="E32" s="32">
        <f>IF(COUNT(C32:D32)&lt;2,"",C32+D32)</f>
        <v/>
      </c>
      <c r="F32" s="19" t="inlineStr">
        <is>
          <t>일반</t>
        </is>
      </c>
      <c r="G32" s="32" t="n">
        <v>15</v>
      </c>
      <c r="H32" s="19" t="inlineStr">
        <is>
          <t>확정</t>
        </is>
      </c>
      <c r="I32" s="19" t="str"/>
      <c r="J32" s="19" t="inlineStr">
        <is>
          <t>06 스테이지 및 웨이브</t>
        </is>
      </c>
    </row>
    <row r="33" ht="21.60000038146973" customHeight="1" s="15">
      <c r="A33" s="19" t="inlineStr">
        <is>
          <t>WV029</t>
        </is>
      </c>
      <c r="B33" s="19" t="n">
        <v>4</v>
      </c>
      <c r="C33" s="32" t="n">
        <v>660</v>
      </c>
      <c r="D33" s="32" t="n">
        <v>70</v>
      </c>
      <c r="E33" s="32">
        <f>IF(COUNT(C33:D33)&lt;2,"",C33+D33)</f>
        <v/>
      </c>
      <c r="F33" s="19" t="inlineStr">
        <is>
          <t>일반</t>
        </is>
      </c>
      <c r="G33" s="32" t="n">
        <v>15</v>
      </c>
      <c r="H33" s="19" t="inlineStr">
        <is>
          <t>확정</t>
        </is>
      </c>
      <c r="I33" s="19" t="str"/>
      <c r="J33" s="19" t="inlineStr">
        <is>
          <t>06 스테이지 및 웨이브</t>
        </is>
      </c>
    </row>
    <row r="34" ht="21.60000038146973" customHeight="1" s="15">
      <c r="A34" s="19" t="inlineStr">
        <is>
          <t>WV030</t>
        </is>
      </c>
      <c r="B34" s="19" t="n">
        <v>4</v>
      </c>
      <c r="C34" s="32" t="n">
        <v>660</v>
      </c>
      <c r="D34" s="32" t="n">
        <v>90</v>
      </c>
      <c r="E34" s="32">
        <f>IF(COUNT(C34:D34)&lt;2,"",C34+D34)</f>
        <v/>
      </c>
      <c r="F34" s="19" t="inlineStr">
        <is>
          <t>정예</t>
        </is>
      </c>
      <c r="G34" s="32" t="n">
        <v>6</v>
      </c>
      <c r="H34" s="19" t="inlineStr">
        <is>
          <t>확정</t>
        </is>
      </c>
      <c r="I34" s="19" t="str"/>
      <c r="J34" s="19" t="inlineStr">
        <is>
          <t>06 스테이지 및 웨이브</t>
        </is>
      </c>
    </row>
    <row r="35" ht="21.60000038146973" customHeight="1" s="15">
      <c r="A35" s="19" t="inlineStr">
        <is>
          <t>WV031</t>
        </is>
      </c>
      <c r="B35" s="19" t="n">
        <v>4</v>
      </c>
      <c r="C35" s="32" t="n">
        <v>660</v>
      </c>
      <c r="D35" s="32" t="n">
        <v>100</v>
      </c>
      <c r="E35" s="32">
        <f>IF(COUNT(C35:D35)&lt;2,"",C35+D35)</f>
        <v/>
      </c>
      <c r="F35" s="19" t="inlineStr">
        <is>
          <t>일반</t>
        </is>
      </c>
      <c r="G35" s="32" t="n">
        <v>15</v>
      </c>
      <c r="H35" s="19" t="inlineStr">
        <is>
          <t>확정</t>
        </is>
      </c>
      <c r="I35" s="19" t="str"/>
      <c r="J35" s="19" t="inlineStr">
        <is>
          <t>06 스테이지 및 웨이브</t>
        </is>
      </c>
    </row>
    <row r="36" ht="21.60000038146973" customHeight="1" s="15">
      <c r="A36" s="19" t="inlineStr">
        <is>
          <t>WV032</t>
        </is>
      </c>
      <c r="B36" s="19" t="n">
        <v>4</v>
      </c>
      <c r="C36" s="32" t="n">
        <v>660</v>
      </c>
      <c r="D36" s="32" t="n">
        <v>120</v>
      </c>
      <c r="E36" s="32">
        <f>IF(COUNT(C36:D36)&lt;2,"",C36+D36)</f>
        <v/>
      </c>
      <c r="F36" s="19" t="inlineStr">
        <is>
          <t>일반</t>
        </is>
      </c>
      <c r="G36" s="32" t="n">
        <v>15</v>
      </c>
      <c r="H36" s="19" t="inlineStr">
        <is>
          <t>확정</t>
        </is>
      </c>
      <c r="I36" s="19" t="str"/>
      <c r="J36" s="19" t="inlineStr">
        <is>
          <t>06 스테이지 및 웨이브</t>
        </is>
      </c>
    </row>
    <row r="37" ht="21.60000038146973" customHeight="1" s="15">
      <c r="A37" s="19" t="inlineStr">
        <is>
          <t>WV033</t>
        </is>
      </c>
      <c r="B37" s="19" t="n">
        <v>5</v>
      </c>
      <c r="C37" s="32" t="n">
        <v>870</v>
      </c>
      <c r="D37" s="32" t="n">
        <v>0</v>
      </c>
      <c r="E37" s="32">
        <f>IF(COUNT(C37:D37)&lt;2,"",C37+D37)</f>
        <v/>
      </c>
      <c r="F37" s="19" t="inlineStr">
        <is>
          <t>일반</t>
        </is>
      </c>
      <c r="G37" s="32" t="n">
        <v>15</v>
      </c>
      <c r="H37" s="19" t="inlineStr">
        <is>
          <t>확정</t>
        </is>
      </c>
      <c r="I37" s="19" t="str"/>
      <c r="J37" s="19" t="inlineStr">
        <is>
          <t>06 스테이지 및 웨이브</t>
        </is>
      </c>
    </row>
    <row r="38" ht="21.60000038146973" customHeight="1" s="15">
      <c r="A38" s="19" t="inlineStr">
        <is>
          <t>WV034</t>
        </is>
      </c>
      <c r="B38" s="19" t="n">
        <v>5</v>
      </c>
      <c r="C38" s="32" t="n">
        <v>870</v>
      </c>
      <c r="D38" s="32" t="n">
        <v>20</v>
      </c>
      <c r="E38" s="32">
        <f>IF(COUNT(C38:D38)&lt;2,"",C38+D38)</f>
        <v/>
      </c>
      <c r="F38" s="19" t="inlineStr">
        <is>
          <t>정예</t>
        </is>
      </c>
      <c r="G38" s="32" t="n">
        <v>3</v>
      </c>
      <c r="H38" s="19" t="inlineStr">
        <is>
          <t>확정</t>
        </is>
      </c>
      <c r="I38" s="19" t="str"/>
      <c r="J38" s="19" t="inlineStr">
        <is>
          <t>06 스테이지 및 웨이브</t>
        </is>
      </c>
    </row>
    <row r="39" ht="21.60000038146973" customHeight="1" s="15">
      <c r="A39" s="19" t="inlineStr">
        <is>
          <t>WV035</t>
        </is>
      </c>
      <c r="B39" s="19" t="n">
        <v>5</v>
      </c>
      <c r="C39" s="32" t="n">
        <v>870</v>
      </c>
      <c r="D39" s="32" t="n">
        <v>40</v>
      </c>
      <c r="E39" s="32">
        <f>IF(COUNT(C39:D39)&lt;2,"",C39+D39)</f>
        <v/>
      </c>
      <c r="F39" s="19" t="inlineStr">
        <is>
          <t>일반</t>
        </is>
      </c>
      <c r="G39" s="32" t="n">
        <v>15</v>
      </c>
      <c r="H39" s="19" t="inlineStr">
        <is>
          <t>확정</t>
        </is>
      </c>
      <c r="I39" s="19" t="str"/>
      <c r="J39" s="19" t="inlineStr">
        <is>
          <t>06 스테이지 및 웨이브</t>
        </is>
      </c>
    </row>
    <row r="40" ht="21.60000038146973" customHeight="1" s="15">
      <c r="A40" s="19" t="inlineStr">
        <is>
          <t>WV036</t>
        </is>
      </c>
      <c r="B40" s="19" t="n">
        <v>5</v>
      </c>
      <c r="C40" s="32" t="n">
        <v>870</v>
      </c>
      <c r="D40" s="32" t="n">
        <v>60</v>
      </c>
      <c r="E40" s="32">
        <f>IF(COUNT(C40:D40)&lt;2,"",C40+D40)</f>
        <v/>
      </c>
      <c r="F40" s="19" t="inlineStr">
        <is>
          <t>정예</t>
        </is>
      </c>
      <c r="G40" s="32" t="n">
        <v>3</v>
      </c>
      <c r="H40" s="19" t="inlineStr">
        <is>
          <t>확정</t>
        </is>
      </c>
      <c r="I40" s="19" t="str"/>
      <c r="J40" s="19" t="inlineStr">
        <is>
          <t>06 스테이지 및 웨이브</t>
        </is>
      </c>
    </row>
    <row r="41" ht="21.60000038146973" customHeight="1" s="15">
      <c r="A41" s="19" t="inlineStr">
        <is>
          <t>WV037</t>
        </is>
      </c>
      <c r="B41" s="19" t="n">
        <v>5</v>
      </c>
      <c r="C41" s="32" t="n">
        <v>870</v>
      </c>
      <c r="D41" s="32" t="n">
        <v>80</v>
      </c>
      <c r="E41" s="32">
        <f>IF(COUNT(C41:D41)&lt;2,"",C41+D41)</f>
        <v/>
      </c>
      <c r="F41" s="19" t="inlineStr">
        <is>
          <t>일반</t>
        </is>
      </c>
      <c r="G41" s="32" t="n">
        <v>15</v>
      </c>
      <c r="H41" s="19" t="inlineStr">
        <is>
          <t>확정</t>
        </is>
      </c>
      <c r="I41" s="19" t="str"/>
      <c r="J41" s="19" t="inlineStr">
        <is>
          <t>06 스테이지 및 웨이브</t>
        </is>
      </c>
    </row>
    <row r="42" ht="21.60000038146973" customHeight="1" s="15">
      <c r="A42" s="19" t="inlineStr">
        <is>
          <t>WV038</t>
        </is>
      </c>
      <c r="B42" s="19" t="n">
        <v>5</v>
      </c>
      <c r="C42" s="32" t="n">
        <v>870</v>
      </c>
      <c r="D42" s="32" t="n">
        <v>100</v>
      </c>
      <c r="E42" s="32">
        <f>IF(COUNT(C42:D42)&lt;2,"",C42+D42)</f>
        <v/>
      </c>
      <c r="F42" s="19" t="inlineStr">
        <is>
          <t>정예</t>
        </is>
      </c>
      <c r="G42" s="32" t="n">
        <v>3</v>
      </c>
      <c r="H42" s="19" t="inlineStr">
        <is>
          <t>확정</t>
        </is>
      </c>
      <c r="I42" s="19" t="str"/>
      <c r="J42" s="19" t="inlineStr">
        <is>
          <t>06 스테이지 및 웨이브</t>
        </is>
      </c>
    </row>
    <row r="43" ht="21.60000038146973" customHeight="1" s="15">
      <c r="A43" s="19" t="inlineStr">
        <is>
          <t>WV039</t>
        </is>
      </c>
      <c r="B43" s="19" t="n">
        <v>5</v>
      </c>
      <c r="C43" s="32" t="n">
        <v>870</v>
      </c>
      <c r="D43" s="32" t="n">
        <v>120</v>
      </c>
      <c r="E43" s="32">
        <f>IF(COUNT(C43:D43)&lt;2,"",C43+D43)</f>
        <v/>
      </c>
      <c r="F43" s="19" t="inlineStr">
        <is>
          <t>일반</t>
        </is>
      </c>
      <c r="G43" s="32" t="n">
        <v>15</v>
      </c>
      <c r="H43" s="19" t="inlineStr">
        <is>
          <t>확정</t>
        </is>
      </c>
      <c r="I43" s="19" t="str"/>
      <c r="J43" s="19" t="inlineStr">
        <is>
          <t>06 스테이지 및 웨이브</t>
        </is>
      </c>
    </row>
    <row r="44" ht="21.60000038146973" customHeight="1" s="15">
      <c r="A44" s="19" t="inlineStr">
        <is>
          <t>WV040</t>
        </is>
      </c>
      <c r="B44" s="19" t="n">
        <v>5</v>
      </c>
      <c r="C44" s="32" t="n">
        <v>870</v>
      </c>
      <c r="D44" s="32" t="n">
        <v>140</v>
      </c>
      <c r="E44" s="32">
        <f>IF(COUNT(C44:D44)&lt;2,"",C44+D44)</f>
        <v/>
      </c>
      <c r="F44" s="19" t="inlineStr">
        <is>
          <t>정예</t>
        </is>
      </c>
      <c r="G44" s="32" t="n">
        <v>6</v>
      </c>
      <c r="H44" s="19" t="inlineStr">
        <is>
          <t>확정</t>
        </is>
      </c>
      <c r="I44" s="19" t="str"/>
      <c r="J44" s="19" t="inlineStr">
        <is>
          <t>06 스테이지 및 웨이브</t>
        </is>
      </c>
    </row>
    <row r="45" ht="21.60000038146973" customHeight="1" s="15">
      <c r="A45" s="19" t="inlineStr">
        <is>
          <t>WV041</t>
        </is>
      </c>
      <c r="B45" s="19" t="n">
        <v>5</v>
      </c>
      <c r="C45" s="32" t="n">
        <v>870</v>
      </c>
      <c r="D45" s="32" t="n">
        <v>160</v>
      </c>
      <c r="E45" s="32">
        <f>IF(COUNT(C45:D45)&lt;2,"",C45+D45)</f>
        <v/>
      </c>
      <c r="F45" s="19" t="inlineStr">
        <is>
          <t>일반</t>
        </is>
      </c>
      <c r="G45" s="32" t="n">
        <v>15</v>
      </c>
      <c r="H45" s="19" t="inlineStr">
        <is>
          <t>확정</t>
        </is>
      </c>
      <c r="I45" s="19" t="str"/>
      <c r="J45" s="19" t="inlineStr">
        <is>
          <t>06 스테이지 및 웨이브</t>
        </is>
      </c>
    </row>
    <row r="46" ht="21.60000038146973" customHeight="1" s="15">
      <c r="A46" s="19" t="inlineStr">
        <is>
          <t>WV042</t>
        </is>
      </c>
      <c r="B46" s="19" t="n">
        <v>6</v>
      </c>
      <c r="C46" s="32" t="n">
        <v>1080</v>
      </c>
      <c r="D46" s="32" t="n">
        <v>0</v>
      </c>
      <c r="E46" s="32">
        <f>IF(COUNT(C46:D46)&lt;2,"",C46+D46)</f>
        <v/>
      </c>
      <c r="F46" s="19" t="inlineStr">
        <is>
          <t>일반</t>
        </is>
      </c>
      <c r="G46" s="32" t="n">
        <v>10</v>
      </c>
      <c r="H46" s="19" t="inlineStr">
        <is>
          <t>확정</t>
        </is>
      </c>
      <c r="I46" s="19" t="str"/>
      <c r="J46" s="19" t="inlineStr">
        <is>
          <t>06 스테이지 및 웨이브</t>
        </is>
      </c>
    </row>
    <row r="47" ht="21.60000038146973" customHeight="1" s="15">
      <c r="A47" s="19" t="inlineStr">
        <is>
          <t>WV043</t>
        </is>
      </c>
      <c r="B47" s="19" t="n">
        <v>6</v>
      </c>
      <c r="C47" s="32" t="n">
        <v>1080</v>
      </c>
      <c r="D47" s="32" t="n">
        <v>10</v>
      </c>
      <c r="E47" s="32">
        <f>IF(COUNT(C47:D47)&lt;2,"",C47+D47)</f>
        <v/>
      </c>
      <c r="F47" s="19" t="inlineStr">
        <is>
          <t>일반</t>
        </is>
      </c>
      <c r="G47" s="32" t="n">
        <v>10</v>
      </c>
      <c r="H47" s="19" t="inlineStr">
        <is>
          <t>확정</t>
        </is>
      </c>
      <c r="I47" s="19" t="str"/>
      <c r="J47" s="19" t="inlineStr">
        <is>
          <t>06 스테이지 및 웨이브</t>
        </is>
      </c>
    </row>
    <row r="48" ht="21.60000038146973" customHeight="1" s="15">
      <c r="A48" s="19" t="inlineStr">
        <is>
          <t>WV044</t>
        </is>
      </c>
      <c r="B48" s="19" t="n">
        <v>6</v>
      </c>
      <c r="C48" s="32" t="n">
        <v>1080</v>
      </c>
      <c r="D48" s="32" t="n">
        <v>20</v>
      </c>
      <c r="E48" s="32">
        <f>IF(COUNT(C48:D48)&lt;2,"",C48+D48)</f>
        <v/>
      </c>
      <c r="F48" s="19" t="inlineStr">
        <is>
          <t>일반</t>
        </is>
      </c>
      <c r="G48" s="32" t="n">
        <v>10</v>
      </c>
      <c r="H48" s="19" t="inlineStr">
        <is>
          <t>확정</t>
        </is>
      </c>
      <c r="I48" s="19" t="str"/>
      <c r="J48" s="19" t="inlineStr">
        <is>
          <t>06 스테이지 및 웨이브</t>
        </is>
      </c>
    </row>
    <row r="49" ht="21.60000038146973" customHeight="1" s="15">
      <c r="A49" s="19" t="inlineStr">
        <is>
          <t>WV045</t>
        </is>
      </c>
      <c r="B49" s="19" t="n">
        <v>6</v>
      </c>
      <c r="C49" s="32" t="n">
        <v>1080</v>
      </c>
      <c r="D49" s="32" t="n">
        <v>30</v>
      </c>
      <c r="E49" s="32">
        <f>IF(COUNT(C49:D49)&lt;2,"",C49+D49)</f>
        <v/>
      </c>
      <c r="F49" s="19" t="inlineStr">
        <is>
          <t>일반</t>
        </is>
      </c>
      <c r="G49" s="32" t="n">
        <v>10</v>
      </c>
      <c r="H49" s="19" t="inlineStr">
        <is>
          <t>확정</t>
        </is>
      </c>
      <c r="I49" s="19" t="str"/>
      <c r="J49" s="19" t="inlineStr">
        <is>
          <t>06 스테이지 및 웨이브</t>
        </is>
      </c>
    </row>
    <row r="50" ht="21.60000038146973" customHeight="1" s="15">
      <c r="A50" s="19" t="inlineStr">
        <is>
          <t>WV046</t>
        </is>
      </c>
      <c r="B50" s="19" t="n">
        <v>6</v>
      </c>
      <c r="C50" s="32" t="n">
        <v>1080</v>
      </c>
      <c r="D50" s="32" t="n">
        <v>40</v>
      </c>
      <c r="E50" s="32">
        <f>IF(COUNT(C50:D50)&lt;2,"",C50+D50)</f>
        <v/>
      </c>
      <c r="F50" s="19" t="inlineStr">
        <is>
          <t>일반</t>
        </is>
      </c>
      <c r="G50" s="32" t="n">
        <v>10</v>
      </c>
      <c r="H50" s="19" t="inlineStr">
        <is>
          <t>확정</t>
        </is>
      </c>
      <c r="I50" s="19" t="str"/>
      <c r="J50" s="19" t="inlineStr">
        <is>
          <t>06 스테이지 및 웨이브</t>
        </is>
      </c>
    </row>
    <row r="51" ht="21.60000038146973" customHeight="1" s="15">
      <c r="A51" s="19" t="inlineStr">
        <is>
          <t>WV047</t>
        </is>
      </c>
      <c r="B51" s="19" t="n">
        <v>6</v>
      </c>
      <c r="C51" s="32" t="n">
        <v>1080</v>
      </c>
      <c r="D51" s="32" t="n">
        <v>50</v>
      </c>
      <c r="E51" s="32">
        <f>IF(COUNT(C51:D51)&lt;2,"",C51+D51)</f>
        <v/>
      </c>
      <c r="F51" s="19" t="inlineStr">
        <is>
          <t>일반</t>
        </is>
      </c>
      <c r="G51" s="32" t="n">
        <v>10</v>
      </c>
      <c r="H51" s="19" t="inlineStr">
        <is>
          <t>확정</t>
        </is>
      </c>
      <c r="I51" s="19" t="str"/>
      <c r="J51" s="19" t="inlineStr">
        <is>
          <t>06 스테이지 및 웨이브</t>
        </is>
      </c>
    </row>
    <row r="52" ht="21.60000038146973" customHeight="1" s="15">
      <c r="A52" s="19" t="inlineStr">
        <is>
          <t>WV048</t>
        </is>
      </c>
      <c r="B52" s="19" t="n">
        <v>6</v>
      </c>
      <c r="C52" s="32" t="n">
        <v>1080</v>
      </c>
      <c r="D52" s="32" t="n">
        <v>60</v>
      </c>
      <c r="E52" s="32">
        <f>IF(COUNT(C52:D52)&lt;2,"",C52+D52)</f>
        <v/>
      </c>
      <c r="F52" s="19" t="inlineStr">
        <is>
          <t>일반</t>
        </is>
      </c>
      <c r="G52" s="32" t="n">
        <v>10</v>
      </c>
      <c r="H52" s="19" t="inlineStr">
        <is>
          <t>확정</t>
        </is>
      </c>
      <c r="I52" s="19" t="str"/>
      <c r="J52" s="19" t="inlineStr">
        <is>
          <t>06 스테이지 및 웨이브</t>
        </is>
      </c>
    </row>
    <row r="53" ht="21.60000038146973" customHeight="1" s="15">
      <c r="A53" s="19" t="inlineStr">
        <is>
          <t>WV049</t>
        </is>
      </c>
      <c r="B53" s="19" t="n">
        <v>6</v>
      </c>
      <c r="C53" s="32" t="n">
        <v>1080</v>
      </c>
      <c r="D53" s="32" t="n">
        <v>60</v>
      </c>
      <c r="E53" s="32">
        <f>IF(COUNT(C53:D53)&lt;2,"",C53+D53)</f>
        <v/>
      </c>
      <c r="F53" s="19" t="inlineStr">
        <is>
          <t>정예</t>
        </is>
      </c>
      <c r="G53" s="32" t="n">
        <v>9</v>
      </c>
      <c r="H53" s="19" t="inlineStr">
        <is>
          <t>확정</t>
        </is>
      </c>
      <c r="I53" s="19" t="str"/>
      <c r="J53" s="19" t="inlineStr">
        <is>
          <t>06 스테이지 및 웨이브</t>
        </is>
      </c>
    </row>
    <row r="54" ht="21.60000038146973" customHeight="1" s="15">
      <c r="A54" s="19" t="inlineStr">
        <is>
          <t>WV050</t>
        </is>
      </c>
      <c r="B54" s="19" t="n">
        <v>6</v>
      </c>
      <c r="C54" s="32" t="n">
        <v>1080</v>
      </c>
      <c r="D54" s="32" t="n">
        <v>90</v>
      </c>
      <c r="E54" s="32">
        <f>IF(COUNT(C54:D54)&lt;2,"",C54+D54)</f>
        <v/>
      </c>
      <c r="F54" s="19" t="inlineStr">
        <is>
          <t>보스</t>
        </is>
      </c>
      <c r="G54" s="32" t="n">
        <v>1</v>
      </c>
      <c r="H54" s="19" t="inlineStr">
        <is>
          <t>확정</t>
        </is>
      </c>
      <c r="I54" s="19" t="str"/>
      <c r="J54" s="19" t="inlineStr">
        <is>
          <t>06 스테이지 및 웨이브</t>
        </is>
      </c>
    </row>
    <row r="55" ht="21.60000038146973" customHeight="1" s="15">
      <c r="A55" s="19" t="inlineStr">
        <is>
          <t>WV051</t>
        </is>
      </c>
      <c r="B55" s="19" t="n">
        <v>7</v>
      </c>
      <c r="C55" s="32" t="n">
        <v>1290</v>
      </c>
      <c r="D55" s="32" t="n">
        <v>0</v>
      </c>
      <c r="E55" s="32">
        <f>IF(COUNT(C55:D55)&lt;2,"",C55+D55)</f>
        <v/>
      </c>
      <c r="F55" s="19" t="inlineStr">
        <is>
          <t>정예</t>
        </is>
      </c>
      <c r="G55" s="32" t="n">
        <v>15</v>
      </c>
      <c r="H55" s="19" t="inlineStr">
        <is>
          <t>확정</t>
        </is>
      </c>
      <c r="I55" s="19" t="str"/>
      <c r="J55" s="19" t="inlineStr">
        <is>
          <t>06 스테이지 및 웨이브</t>
        </is>
      </c>
    </row>
    <row r="56" ht="21.60000038146973" customHeight="1" s="15">
      <c r="A56" s="19" t="inlineStr">
        <is>
          <t>WV052</t>
        </is>
      </c>
      <c r="B56" s="19" t="n">
        <v>7</v>
      </c>
      <c r="C56" s="32" t="n">
        <v>1290</v>
      </c>
      <c r="D56" s="32" t="n">
        <v>30</v>
      </c>
      <c r="E56" s="32">
        <f>IF(COUNT(C56:D56)&lt;2,"",C56+D56)</f>
        <v/>
      </c>
      <c r="F56" s="19" t="inlineStr">
        <is>
          <t>일반</t>
        </is>
      </c>
      <c r="G56" s="32" t="n">
        <v>5</v>
      </c>
      <c r="H56" s="19" t="inlineStr">
        <is>
          <t>확정</t>
        </is>
      </c>
      <c r="I56" s="19" t="str"/>
      <c r="J56" s="19" t="inlineStr">
        <is>
          <t>06 스테이지 및 웨이브</t>
        </is>
      </c>
    </row>
    <row r="57" ht="21.60000038146973" customHeight="1" s="15">
      <c r="A57" s="19" t="inlineStr">
        <is>
          <t>WV053</t>
        </is>
      </c>
      <c r="B57" s="19" t="n">
        <v>7</v>
      </c>
      <c r="C57" s="32" t="n">
        <v>1290</v>
      </c>
      <c r="D57" s="32" t="n">
        <v>60</v>
      </c>
      <c r="E57" s="32">
        <f>IF(COUNT(C57:D57)&lt;2,"",C57+D57)</f>
        <v/>
      </c>
      <c r="F57" s="19" t="inlineStr">
        <is>
          <t>일반</t>
        </is>
      </c>
      <c r="G57" s="32" t="n">
        <v>5</v>
      </c>
      <c r="H57" s="19" t="inlineStr">
        <is>
          <t>확정</t>
        </is>
      </c>
      <c r="I57" s="19" t="str"/>
      <c r="J57" s="19" t="inlineStr">
        <is>
          <t>06 스테이지 및 웨이브</t>
        </is>
      </c>
    </row>
    <row r="58" ht="21.60000038146973" customHeight="1" s="15">
      <c r="A58" s="19" t="inlineStr">
        <is>
          <t>WV054</t>
        </is>
      </c>
      <c r="B58" s="19" t="n">
        <v>7</v>
      </c>
      <c r="C58" s="32" t="n">
        <v>1290</v>
      </c>
      <c r="D58" s="32" t="n">
        <v>90</v>
      </c>
      <c r="E58" s="32">
        <f>IF(COUNT(C58:D58)&lt;2,"",C58+D58)</f>
        <v/>
      </c>
      <c r="F58" s="19" t="inlineStr">
        <is>
          <t>일반</t>
        </is>
      </c>
      <c r="G58" s="32" t="n">
        <v>5</v>
      </c>
      <c r="H58" s="19" t="inlineStr">
        <is>
          <t>확정</t>
        </is>
      </c>
      <c r="I58" s="19" t="str"/>
      <c r="J58" s="19" t="inlineStr">
        <is>
          <t>06 스테이지 및 웨이브</t>
        </is>
      </c>
    </row>
    <row r="59" ht="21.60000038146973" customHeight="1" s="15">
      <c r="A59" s="19" t="inlineStr">
        <is>
          <t>WV055</t>
        </is>
      </c>
      <c r="B59" s="19" t="n">
        <v>7</v>
      </c>
      <c r="C59" s="32" t="n">
        <v>1290</v>
      </c>
      <c r="D59" s="32" t="n">
        <v>90</v>
      </c>
      <c r="E59" s="32">
        <f>IF(COUNT(C59:D59)&lt;2,"",C59+D59)</f>
        <v/>
      </c>
      <c r="F59" s="19" t="inlineStr">
        <is>
          <t>정예</t>
        </is>
      </c>
      <c r="G59" s="32" t="n">
        <v>12</v>
      </c>
      <c r="H59" s="19" t="inlineStr">
        <is>
          <t>확정</t>
        </is>
      </c>
      <c r="I59" s="19" t="str"/>
      <c r="J59" s="19" t="inlineStr">
        <is>
          <t>06 스테이지 및 웨이브</t>
        </is>
      </c>
    </row>
    <row r="60" ht="21.60000038146973" customHeight="1" s="15">
      <c r="A60" s="19" t="inlineStr">
        <is>
          <t>WV056</t>
        </is>
      </c>
      <c r="B60" s="19" t="n">
        <v>7</v>
      </c>
      <c r="C60" s="32" t="n">
        <v>1290</v>
      </c>
      <c r="D60" s="32" t="n">
        <v>120</v>
      </c>
      <c r="E60" s="32">
        <f>IF(COUNT(C60:D60)&lt;2,"",C60+D60)</f>
        <v/>
      </c>
      <c r="F60" s="19" t="inlineStr">
        <is>
          <t>일반</t>
        </is>
      </c>
      <c r="G60" s="32" t="n">
        <v>5</v>
      </c>
      <c r="H60" s="19" t="inlineStr">
        <is>
          <t>확정</t>
        </is>
      </c>
      <c r="I60" s="19" t="str"/>
      <c r="J60" s="19" t="inlineStr">
        <is>
          <t>06 스테이지 및 웨이브</t>
        </is>
      </c>
    </row>
    <row r="61" ht="21.60000038146973" customHeight="1" s="15">
      <c r="A61" s="19" t="inlineStr">
        <is>
          <t>WV057</t>
        </is>
      </c>
      <c r="B61" s="19" t="n">
        <v>7</v>
      </c>
      <c r="C61" s="32" t="n">
        <v>1290</v>
      </c>
      <c r="D61" s="32" t="n">
        <v>150</v>
      </c>
      <c r="E61" s="32">
        <f>IF(COUNT(C61:D61)&lt;2,"",C61+D61)</f>
        <v/>
      </c>
      <c r="F61" s="19" t="inlineStr">
        <is>
          <t>일반</t>
        </is>
      </c>
      <c r="G61" s="32" t="n">
        <v>5</v>
      </c>
      <c r="H61" s="19" t="inlineStr">
        <is>
          <t>확정</t>
        </is>
      </c>
      <c r="I61" s="19" t="str"/>
      <c r="J61" s="19" t="inlineStr">
        <is>
          <t>06 스테이지 및 웨이브</t>
        </is>
      </c>
    </row>
    <row r="62" ht="21.60000038146973" customHeight="1" s="15">
      <c r="A62" s="19" t="inlineStr">
        <is>
          <t>WV058</t>
        </is>
      </c>
      <c r="B62" s="19" t="n">
        <v>8</v>
      </c>
      <c r="C62" s="32" t="n">
        <v>1500</v>
      </c>
      <c r="D62" s="32" t="n"/>
      <c r="E62" s="32">
        <f>IF(COUNT(C62:D62)&lt;2,"",C62+D62)</f>
        <v/>
      </c>
      <c r="F62" s="19" t="n"/>
      <c r="G62" s="32" t="n"/>
      <c r="H62" s="19" t="inlineStr">
        <is>
          <t>추후 입력</t>
        </is>
      </c>
      <c r="I62" s="19" t="inlineStr">
        <is>
          <t>기획자 답변 대기</t>
        </is>
      </c>
      <c r="J62" s="19" t="inlineStr">
        <is>
          <t>06 스테이지 및 웨이브</t>
        </is>
      </c>
    </row>
    <row r="63" ht="21.60000038146973" customHeight="1" s="15">
      <c r="A63" s="19" t="inlineStr">
        <is>
          <t>WV059</t>
        </is>
      </c>
      <c r="B63" s="19" t="n">
        <v>9</v>
      </c>
      <c r="C63" s="32" t="n">
        <v>1710</v>
      </c>
      <c r="D63" s="32" t="n"/>
      <c r="E63" s="32">
        <f>IF(COUNT(C63:D63)&lt;2,"",C63+D63)</f>
        <v/>
      </c>
      <c r="F63" s="19" t="n"/>
      <c r="G63" s="32" t="n"/>
      <c r="H63" s="19" t="inlineStr">
        <is>
          <t>추후 입력</t>
        </is>
      </c>
      <c r="I63" s="19" t="inlineStr">
        <is>
          <t>기획자 답변 대기</t>
        </is>
      </c>
      <c r="J63" s="19" t="inlineStr">
        <is>
          <t>06 스테이지 및 웨이브</t>
        </is>
      </c>
    </row>
    <row r="64" ht="21.60000038146973" customHeight="1" s="15">
      <c r="A64" s="19" t="inlineStr">
        <is>
          <t>WV060</t>
        </is>
      </c>
      <c r="B64" s="19" t="n">
        <v>10</v>
      </c>
      <c r="C64" s="32" t="n">
        <v>1920</v>
      </c>
      <c r="D64" s="32" t="n"/>
      <c r="E64" s="32">
        <f>IF(COUNT(C64:D64)&lt;2,"",C64+D64)</f>
        <v/>
      </c>
      <c r="F64" s="19" t="n"/>
      <c r="G64" s="32" t="n"/>
      <c r="H64" s="19" t="inlineStr">
        <is>
          <t>추후 입력</t>
        </is>
      </c>
      <c r="I64" s="19" t="inlineStr">
        <is>
          <t>기획자 답변 대기</t>
        </is>
      </c>
      <c r="J64" s="19" t="inlineStr">
        <is>
          <t>06 스테이지 및 웨이브</t>
        </is>
      </c>
    </row>
    <row r="65"/>
    <row r="66"/>
    <row r="67" ht="15" customHeight="1" s="15">
      <c r="A67" s="27" t="inlineStr">
        <is>
          <t>ID</t>
        </is>
      </c>
      <c r="B67" s="27" t="inlineStr">
        <is>
          <t>절대 시각</t>
        </is>
      </c>
      <c r="C67" s="27" t="inlineStr">
        <is>
          <t>분류</t>
        </is>
      </c>
      <c r="D67" s="27" t="inlineStr">
        <is>
          <t>단계</t>
        </is>
      </c>
      <c r="E67" s="27" t="inlineStr">
        <is>
          <t>변화</t>
        </is>
      </c>
      <c r="F67" s="27" t="inlineStr">
        <is>
          <t>상태</t>
        </is>
      </c>
      <c r="G67" s="27" t="inlineStr">
        <is>
          <t>기준 문서</t>
        </is>
      </c>
    </row>
    <row r="68" ht="21.60000038146973" customHeight="1" s="15">
      <c r="A68" s="19" t="inlineStr">
        <is>
          <t>MS001</t>
        </is>
      </c>
      <c r="B68" s="19" t="n">
        <v>635</v>
      </c>
      <c r="C68" s="19" t="inlineStr">
        <is>
          <t>트랙</t>
        </is>
      </c>
      <c r="D68" s="19" t="n">
        <v>2</v>
      </c>
      <c r="E68" s="19" t="inlineStr">
        <is>
          <t>트랙 확장, 겹친 타워 불능</t>
        </is>
      </c>
      <c r="F68" s="19" t="inlineStr">
        <is>
          <t>확정</t>
        </is>
      </c>
      <c r="G68" s="19" t="inlineStr">
        <is>
          <t>06 스테이지 및 웨이브</t>
        </is>
      </c>
    </row>
    <row r="69" ht="21.60000038146973" customHeight="1" s="15">
      <c r="A69" s="19" t="inlineStr">
        <is>
          <t>MS002</t>
        </is>
      </c>
      <c r="B69" s="19" t="n">
        <v>1265</v>
      </c>
      <c r="C69" s="19" t="inlineStr">
        <is>
          <t>트랙</t>
        </is>
      </c>
      <c r="D69" s="19" t="n">
        <v>3</v>
      </c>
      <c r="E69" s="19" t="inlineStr">
        <is>
          <t>트랙 확장, 겹친 타워 불능</t>
        </is>
      </c>
      <c r="F69" s="19" t="inlineStr">
        <is>
          <t>확정</t>
        </is>
      </c>
      <c r="G69" s="19" t="inlineStr">
        <is>
          <t>06 스테이지 및 웨이브</t>
        </is>
      </c>
    </row>
    <row r="70" ht="21.60000038146973" customHeight="1" s="15">
      <c r="A70" s="19" t="inlineStr">
        <is>
          <t>MS003</t>
        </is>
      </c>
      <c r="B70" s="19" t="n">
        <v>1895</v>
      </c>
      <c r="C70" s="19" t="inlineStr">
        <is>
          <t>트랙</t>
        </is>
      </c>
      <c r="D70" s="19" t="n">
        <v>4</v>
      </c>
      <c r="E70" s="19" t="inlineStr">
        <is>
          <t>트랙 확장, 겹친 타워 불능</t>
        </is>
      </c>
      <c r="F70" s="19" t="inlineStr">
        <is>
          <t>확정</t>
        </is>
      </c>
      <c r="G70" s="19" t="inlineStr">
        <is>
          <t>06 스테이지 및 웨이브</t>
        </is>
      </c>
    </row>
    <row r="71" ht="32.40000152587891" customHeight="1" s="15">
      <c r="A71" s="19" t="inlineStr">
        <is>
          <t>MS004</t>
        </is>
      </c>
      <c r="B71" s="19" t="n">
        <v>900</v>
      </c>
      <c r="C71" s="19" t="inlineStr">
        <is>
          <t>난이도</t>
        </is>
      </c>
      <c r="D71" s="19" t="n">
        <v>2</v>
      </c>
      <c r="E71" s="19" t="inlineStr">
        <is>
          <t>외부 수량 완화, 5웨이브 이후 내부 강화</t>
        </is>
      </c>
      <c r="F71" s="19" t="inlineStr">
        <is>
          <t>확정</t>
        </is>
      </c>
      <c r="G71" s="19" t="inlineStr">
        <is>
          <t>06 스테이지 및 웨이브</t>
        </is>
      </c>
    </row>
    <row r="72" ht="32.40000152587891" customHeight="1" s="15">
      <c r="A72" s="19" t="inlineStr">
        <is>
          <t>MS005</t>
        </is>
      </c>
      <c r="B72" s="19" t="n">
        <v>1500</v>
      </c>
      <c r="C72" s="19" t="inlineStr">
        <is>
          <t>난이도</t>
        </is>
      </c>
      <c r="D72" s="19" t="n">
        <v>3</v>
      </c>
      <c r="E72" s="19" t="inlineStr">
        <is>
          <t>외부 레벨 약화, 8웨이브 이후 내부 강화</t>
        </is>
      </c>
      <c r="F72" s="19" t="inlineStr">
        <is>
          <t>확정</t>
        </is>
      </c>
      <c r="G72" s="19" t="inlineStr">
        <is>
          <t>06 스테이지 및 웨이브</t>
        </is>
      </c>
    </row>
    <row r="73" ht="32.40000152587891" customHeight="1" s="15">
      <c r="A73" s="19" t="inlineStr">
        <is>
          <t>MS006</t>
        </is>
      </c>
      <c r="B73" s="19" t="n">
        <v>2100</v>
      </c>
      <c r="C73" s="19" t="inlineStr">
        <is>
          <t>난이도</t>
        </is>
      </c>
      <c r="D73" s="19" t="n">
        <v>4</v>
      </c>
      <c r="E73" s="19" t="inlineStr">
        <is>
          <t>외부 강화, 11웨이브부터 매 라운드 내부 강화</t>
        </is>
      </c>
      <c r="F73" s="19" t="inlineStr">
        <is>
          <t>확정</t>
        </is>
      </c>
      <c r="G73" s="19" t="inlineStr">
        <is>
          <t>06 스테이지 및 웨이브</t>
        </is>
      </c>
    </row>
  </sheetData>
  <autoFilter ref="A4:J73"/>
  <mergeCells count="2">
    <mergeCell ref="A1:J1"/>
    <mergeCell ref="A2:J2"/>
  </mergeCells>
  <conditionalFormatting sqref="H5:H64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conditionalFormatting sqref="F68:F73">
    <cfRule type="containsText" priority="6" operator="containsText" dxfId="0" text="확정"/>
    <cfRule type="containsText" priority="7" operator="containsText" dxfId="1" text="임시"/>
    <cfRule type="containsText" priority="8" operator="containsText" dxfId="2" text="질문 필요"/>
    <cfRule type="containsText" priority="9" operator="containsText" dxfId="3" text="추후 입력"/>
    <cfRule type="containsText" priority="10" operator="containsText" dxfId="4" text="보류"/>
  </conditionalFormatting>
  <dataValidations count="2">
    <dataValidation sqref="H5:H64" showDropDown="0" showInputMessage="0" showErrorMessage="0" allowBlank="0" type="list">
      <formula1>"확정,임시,질문 필요,추후 입력,보류"</formula1>
    </dataValidation>
    <dataValidation sqref="F68:F73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0" customWidth="1" style="15" min="2" max="2"/>
    <col width="10" customWidth="1" style="15" min="3" max="3"/>
    <col width="11" customWidth="1" style="15" min="4" max="4"/>
    <col width="10" customWidth="1" style="15" min="5" max="5"/>
    <col width="10" customWidth="1" style="15" min="6" max="6"/>
    <col width="15" customWidth="1" style="15" min="7" max="7"/>
    <col width="15" customWidth="1" style="15" min="8" max="8"/>
    <col width="20" customWidth="1" style="15" min="9" max="9"/>
    <col width="10" customWidth="1" style="15" min="10" max="10"/>
    <col width="10" customWidth="1" style="15" min="11" max="11"/>
    <col width="26" customWidth="1" style="15" min="12" max="12"/>
  </cols>
  <sheetData>
    <row r="1" ht="19.20000076293945" customHeight="1" s="15">
      <c r="A1" s="3" t="inlineStr">
        <is>
          <t>Map — 지역과 배치 데이터</t>
        </is>
      </c>
    </row>
    <row r="2" ht="15" customHeight="1" s="15">
      <c r="A2" s="7" t="inlineStr">
        <is>
          <t>지역의 상세 행동은 04·05 기획서를 기준으로 합니다. 스테이지별 생성 수량과 거리 제한은 이 시트에서 조정합니다.</t>
        </is>
      </c>
    </row>
    <row r="3"/>
    <row r="4" ht="15" customHeight="1" s="15">
      <c r="A4" s="14" t="inlineStr">
        <is>
          <t>ID</t>
        </is>
      </c>
      <c r="B4" s="14" t="inlineStr">
        <is>
          <t>스테이지</t>
        </is>
      </c>
      <c r="C4" s="14" t="inlineStr">
        <is>
          <t>테마</t>
        </is>
      </c>
      <c r="D4" s="14" t="inlineStr">
        <is>
          <t>자연 지형</t>
        </is>
      </c>
      <c r="E4" s="14" t="inlineStr">
        <is>
          <t>벌레지옥</t>
        </is>
      </c>
      <c r="F4" s="14" t="inlineStr">
        <is>
          <t>관문 후보</t>
        </is>
      </c>
      <c r="G4" s="14" t="inlineStr">
        <is>
          <t>성소 최소</t>
        </is>
      </c>
      <c r="H4" s="14" t="inlineStr">
        <is>
          <t>성소 최대</t>
        </is>
      </c>
      <c r="I4" s="14" t="inlineStr">
        <is>
          <t>섹터 형태</t>
        </is>
      </c>
      <c r="J4" s="14" t="inlineStr">
        <is>
          <t>섹터 수</t>
        </is>
      </c>
      <c r="K4" s="14" t="inlineStr">
        <is>
          <t>상태</t>
        </is>
      </c>
      <c r="L4" s="14" t="inlineStr">
        <is>
          <t>메모</t>
        </is>
      </c>
    </row>
    <row r="5" ht="15" customHeight="1" s="15">
      <c r="A5" s="19" t="inlineStr">
        <is>
          <t>MP001</t>
        </is>
      </c>
      <c r="B5" s="19" t="n">
        <v>1</v>
      </c>
      <c r="C5" s="19" t="inlineStr">
        <is>
          <t>모래사막</t>
        </is>
      </c>
      <c r="D5" s="19" t="n">
        <v>18</v>
      </c>
      <c r="E5" s="19" t="n">
        <v>12</v>
      </c>
      <c r="F5" s="19" t="n">
        <v>16</v>
      </c>
      <c r="G5" s="19" t="n">
        <v>5</v>
      </c>
      <c r="H5" s="19" t="n">
        <v>10</v>
      </c>
      <c r="I5" s="19" t="inlineStr">
        <is>
          <t>정사각형</t>
        </is>
      </c>
      <c r="J5" s="19" t="n"/>
      <c r="K5" s="19" t="inlineStr">
        <is>
          <t>임시</t>
        </is>
      </c>
      <c r="L5" s="19" t="inlineStr">
        <is>
          <t>1스테이지 최초 테스트 기준</t>
        </is>
      </c>
    </row>
    <row r="6" ht="15" customHeight="1" s="15">
      <c r="A6" s="19" t="inlineStr">
        <is>
          <t>MP002</t>
        </is>
      </c>
      <c r="B6" s="19" t="n">
        <v>2</v>
      </c>
      <c r="C6" s="19" t="inlineStr">
        <is>
          <t>빙하설원</t>
        </is>
      </c>
      <c r="D6" s="19" t="n">
        <v>30</v>
      </c>
      <c r="E6" s="19" t="n"/>
      <c r="F6" s="19" t="n">
        <v>16</v>
      </c>
      <c r="G6" s="19" t="n">
        <v>5</v>
      </c>
      <c r="H6" s="19" t="n">
        <v>10</v>
      </c>
      <c r="I6" s="19" t="inlineStr">
        <is>
          <t>정사각형</t>
        </is>
      </c>
      <c r="J6" s="19" t="n"/>
      <c r="K6" s="19" t="inlineStr">
        <is>
          <t>상정</t>
        </is>
      </c>
      <c r="L6" s="19" t="inlineStr">
        <is>
          <t>자연 지형 30개 확정. 섹터 수/크기 추후</t>
        </is>
      </c>
    </row>
    <row r="7" ht="15" customHeight="1" s="15">
      <c r="A7" s="19" t="inlineStr">
        <is>
          <t>MP003</t>
        </is>
      </c>
      <c r="B7" s="19" t="n">
        <v>3</v>
      </c>
      <c r="C7" s="19" t="inlineStr">
        <is>
          <t>화산지대</t>
        </is>
      </c>
      <c r="D7" s="19" t="n"/>
      <c r="E7" s="19" t="n">
        <v>20</v>
      </c>
      <c r="F7" s="19" t="n">
        <v>16</v>
      </c>
      <c r="G7" s="19" t="n">
        <v>5</v>
      </c>
      <c r="H7" s="19" t="n">
        <v>10</v>
      </c>
      <c r="I7" s="19" t="inlineStr">
        <is>
          <t>정사각형</t>
        </is>
      </c>
      <c r="J7" s="19" t="n"/>
      <c r="K7" s="19" t="inlineStr">
        <is>
          <t>상정</t>
        </is>
      </c>
      <c r="L7" s="19" t="inlineStr">
        <is>
          <t>벌레지옥 20개 확정. 섹터 수/크기 추후</t>
        </is>
      </c>
    </row>
    <row r="8"/>
    <row r="9"/>
    <row r="10"/>
    <row r="11" ht="15" customHeight="1" s="15">
      <c r="A11" s="23" t="inlineStr">
        <is>
          <t>ID</t>
        </is>
      </c>
      <c r="B11" s="23" t="inlineStr">
        <is>
          <t>대상</t>
        </is>
      </c>
      <c r="C11" s="23" t="inlineStr">
        <is>
          <t>기준 대상</t>
        </is>
      </c>
      <c r="D11" s="23" t="inlineStr">
        <is>
          <t>최소 거리</t>
        </is>
      </c>
      <c r="E11" s="23" t="inlineStr">
        <is>
          <t>단위</t>
        </is>
      </c>
      <c r="F11" s="23" t="inlineStr">
        <is>
          <t>상태</t>
        </is>
      </c>
      <c r="G11" s="23" t="inlineStr">
        <is>
          <t>기준 문서</t>
        </is>
      </c>
      <c r="H11" s="23" t="inlineStr">
        <is>
          <t>메모</t>
        </is>
      </c>
    </row>
    <row r="12" ht="15" customHeight="1" s="15">
      <c r="A12" s="19" t="inlineStr">
        <is>
          <t>MR001</t>
        </is>
      </c>
      <c r="B12" s="19" t="inlineStr">
        <is>
          <t>벌레지옥</t>
        </is>
      </c>
      <c r="C12" s="19" t="inlineStr">
        <is>
          <t>시작 영역</t>
        </is>
      </c>
      <c r="D12" s="19" t="n">
        <v>1</v>
      </c>
      <c r="E12" s="19" t="inlineStr">
        <is>
          <t>섹터</t>
        </is>
      </c>
      <c r="F12" s="19" t="inlineStr">
        <is>
          <t>확정</t>
        </is>
      </c>
      <c r="G12" s="19" t="inlineStr">
        <is>
          <t>05 맵 및 레벨 디자인</t>
        </is>
      </c>
      <c r="H12" s="19" t="str"/>
    </row>
    <row r="13" ht="15" customHeight="1" s="15">
      <c r="A13" s="19" t="inlineStr">
        <is>
          <t>MR002</t>
        </is>
      </c>
      <c r="B13" s="19" t="inlineStr">
        <is>
          <t>벌레지옥</t>
        </is>
      </c>
      <c r="C13" s="19" t="inlineStr">
        <is>
          <t>다른 벌레지옥</t>
        </is>
      </c>
      <c r="D13" s="19" t="n">
        <v>5</v>
      </c>
      <c r="E13" s="19" t="inlineStr">
        <is>
          <t>타일</t>
        </is>
      </c>
      <c r="F13" s="19" t="inlineStr">
        <is>
          <t>확정</t>
        </is>
      </c>
      <c r="G13" s="19" t="inlineStr">
        <is>
          <t>05 맵 및 레벨 디자인</t>
        </is>
      </c>
      <c r="H13" s="19" t="str"/>
    </row>
    <row r="14" ht="15" customHeight="1" s="15">
      <c r="A14" s="19" t="inlineStr">
        <is>
          <t>MR003</t>
        </is>
      </c>
      <c r="B14" s="19" t="inlineStr">
        <is>
          <t>벌레지옥</t>
        </is>
      </c>
      <c r="C14" s="19" t="inlineStr">
        <is>
          <t>성역</t>
        </is>
      </c>
      <c r="D14" s="19" t="n">
        <v>0</v>
      </c>
      <c r="E14" s="19" t="inlineStr">
        <is>
          <t>겹침 금지</t>
        </is>
      </c>
      <c r="F14" s="19" t="inlineStr">
        <is>
          <t>확정</t>
        </is>
      </c>
      <c r="G14" s="19" t="inlineStr">
        <is>
          <t>05 맵 및 레벨 디자인</t>
        </is>
      </c>
      <c r="H14" s="19" t="str"/>
    </row>
    <row r="15" ht="15" customHeight="1" s="15">
      <c r="A15" s="19" t="inlineStr">
        <is>
          <t>MR004</t>
        </is>
      </c>
      <c r="B15" s="19" t="inlineStr">
        <is>
          <t>자원</t>
        </is>
      </c>
      <c r="C15" s="19" t="inlineStr">
        <is>
          <t>모든 대상</t>
        </is>
      </c>
      <c r="D15" s="19" t="n">
        <v>0</v>
      </c>
      <c r="E15" s="19" t="inlineStr">
        <is>
          <t>제한 없음</t>
        </is>
      </c>
      <c r="F15" s="19" t="inlineStr">
        <is>
          <t>확정</t>
        </is>
      </c>
      <c r="G15" s="19" t="inlineStr">
        <is>
          <t>05 맵 및 레벨 디자인</t>
        </is>
      </c>
      <c r="H15" s="19" t="str"/>
    </row>
    <row r="16" ht="15" customHeight="1" s="15">
      <c r="A16" s="19" t="inlineStr">
        <is>
          <t>MR005</t>
        </is>
      </c>
      <c r="B16" s="19" t="inlineStr">
        <is>
          <t>자연 지형</t>
        </is>
      </c>
      <c r="C16" s="19" t="inlineStr">
        <is>
          <t>섹터</t>
        </is>
      </c>
      <c r="D16" s="19" t="n">
        <v>1</v>
      </c>
      <c r="E16" s="19" t="inlineStr">
        <is>
          <t>개/섹터</t>
        </is>
      </c>
      <c r="F16" s="19" t="inlineStr">
        <is>
          <t>확정</t>
        </is>
      </c>
      <c r="G16" s="19" t="inlineStr">
        <is>
          <t>05 맵 및 레벨 디자인</t>
        </is>
      </c>
      <c r="H16" s="19" t="inlineStr">
        <is>
          <t>1스테이지 기준</t>
        </is>
      </c>
    </row>
    <row r="17"/>
    <row r="18"/>
    <row r="19"/>
    <row r="20" ht="15" customHeight="1" s="15">
      <c r="A20" s="27" t="inlineStr">
        <is>
          <t>ID</t>
        </is>
      </c>
      <c r="B20" s="27" t="inlineStr">
        <is>
          <t>성소</t>
        </is>
      </c>
      <c r="C20" s="27" t="inlineStr">
        <is>
          <t>즉시 수치</t>
        </is>
      </c>
      <c r="D20" s="27" t="inlineStr">
        <is>
          <t>단위</t>
        </is>
      </c>
      <c r="E20" s="27" t="inlineStr">
        <is>
          <t>지속시간</t>
        </is>
      </c>
      <c r="F20" s="27" t="inlineStr">
        <is>
          <t>최대 이용</t>
        </is>
      </c>
      <c r="G20" s="27" t="inlineStr">
        <is>
          <t>상태</t>
        </is>
      </c>
      <c r="H20" s="27" t="inlineStr">
        <is>
          <t>기준 문서</t>
        </is>
      </c>
      <c r="I20" s="27" t="inlineStr">
        <is>
          <t>메모</t>
        </is>
      </c>
    </row>
    <row r="21" ht="21.60000038146973" customHeight="1" s="15">
      <c r="A21" s="19" t="n">
        <v>4006</v>
      </c>
      <c r="B21" s="19" t="inlineStr">
        <is>
          <t>오아시스</t>
        </is>
      </c>
      <c r="C21" s="19" t="n">
        <v>60</v>
      </c>
      <c r="D21" s="19" t="inlineStr">
        <is>
          <t>HP 회복</t>
        </is>
      </c>
      <c r="E21" s="19" t="n"/>
      <c r="F21" s="19" t="n"/>
      <c r="G21" s="19" t="inlineStr">
        <is>
          <t>확정</t>
        </is>
      </c>
      <c r="H21" s="19" t="inlineStr">
        <is>
          <t>05 맵 및 레벨 디자인</t>
        </is>
      </c>
      <c r="I21" s="19" t="inlineStr">
        <is>
          <t>보상 지급과 임시 영역 유지 분리</t>
        </is>
      </c>
    </row>
    <row r="22" ht="15" customHeight="1" s="15">
      <c r="A22" s="19" t="n">
        <v>4007</v>
      </c>
      <c r="B22" s="19" t="inlineStr">
        <is>
          <t>사원</t>
        </is>
      </c>
      <c r="C22" s="19" t="n">
        <v>1</v>
      </c>
      <c r="D22" s="19" t="inlineStr">
        <is>
          <t>아이템 또는 무기</t>
        </is>
      </c>
      <c r="E22" s="19" t="n"/>
      <c r="F22" s="19" t="n"/>
      <c r="G22" s="19" t="inlineStr">
        <is>
          <t>확정</t>
        </is>
      </c>
      <c r="H22" s="19" t="inlineStr">
        <is>
          <t>05 맵 및 레벨 디자인</t>
        </is>
      </c>
      <c r="I22" s="19" t="inlineStr">
        <is>
          <t>보상 지급과 임시 영역 유지 분리</t>
        </is>
      </c>
    </row>
    <row r="23" ht="15" customHeight="1" s="15">
      <c r="A23" s="19" t="n">
        <v>4008</v>
      </c>
      <c r="B23" s="19" t="inlineStr">
        <is>
          <t>제단</t>
        </is>
      </c>
      <c r="C23" s="19" t="n"/>
      <c r="D23" s="19" t="inlineStr">
        <is>
          <t>각성</t>
        </is>
      </c>
      <c r="E23" s="19" t="n">
        <v>30</v>
      </c>
      <c r="F23" s="19" t="n"/>
      <c r="G23" s="19" t="inlineStr">
        <is>
          <t>확정</t>
        </is>
      </c>
      <c r="H23" s="19" t="inlineStr">
        <is>
          <t>05 맵 및 레벨 디자인</t>
        </is>
      </c>
      <c r="I23" s="19" t="str"/>
    </row>
    <row r="24" ht="21.60000038146973" customHeight="1" s="15">
      <c r="A24" s="19" t="n">
        <v>4009</v>
      </c>
      <c r="B24" s="19" t="inlineStr">
        <is>
          <t>탑</t>
        </is>
      </c>
      <c r="C24" s="19" t="n">
        <v>1</v>
      </c>
      <c r="D24" s="19" t="inlineStr">
        <is>
          <t>토큰</t>
        </is>
      </c>
      <c r="E24" s="19" t="n"/>
      <c r="F24" s="19" t="n"/>
      <c r="G24" s="19" t="inlineStr">
        <is>
          <t>확정</t>
        </is>
      </c>
      <c r="H24" s="19" t="inlineStr">
        <is>
          <t>05 맵 및 레벨 디자인</t>
        </is>
      </c>
      <c r="I24" s="19" t="inlineStr">
        <is>
          <t>보상 지급과 임시 영역 유지 분리</t>
        </is>
      </c>
    </row>
  </sheetData>
  <autoFilter ref="A4:L24"/>
  <mergeCells count="2">
    <mergeCell ref="A2:L2"/>
    <mergeCell ref="A1:L1"/>
  </mergeCells>
  <conditionalFormatting sqref="K5:K7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conditionalFormatting sqref="F12:F16">
    <cfRule type="containsText" priority="6" operator="containsText" dxfId="0" text="확정"/>
    <cfRule type="containsText" priority="7" operator="containsText" dxfId="1" text="임시"/>
    <cfRule type="containsText" priority="8" operator="containsText" dxfId="2" text="질문 필요"/>
    <cfRule type="containsText" priority="9" operator="containsText" dxfId="3" text="추후 입력"/>
    <cfRule type="containsText" priority="10" operator="containsText" dxfId="4" text="보류"/>
  </conditionalFormatting>
  <conditionalFormatting sqref="G21:G24">
    <cfRule type="containsText" priority="11" operator="containsText" dxfId="0" text="확정"/>
    <cfRule type="containsText" priority="12" operator="containsText" dxfId="1" text="임시"/>
    <cfRule type="containsText" priority="13" operator="containsText" dxfId="2" text="질문 필요"/>
    <cfRule type="containsText" priority="14" operator="containsText" dxfId="3" text="추후 입력"/>
    <cfRule type="containsText" priority="15" operator="containsText" dxfId="4" text="보류"/>
  </conditionalFormatting>
  <dataValidations count="3">
    <dataValidation sqref="K5:K7" showDropDown="0" showInputMessage="0" showErrorMessage="0" allowBlank="0" type="list">
      <formula1>"확정,임시,질문 필요,추후 입력,보류"</formula1>
    </dataValidation>
    <dataValidation sqref="F12:F16" showDropDown="0" showInputMessage="0" showErrorMessage="0" allowBlank="0" type="list">
      <formula1>"확정,임시,질문 필요,추후 입력,보류"</formula1>
    </dataValidation>
    <dataValidation sqref="G21:G24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0" customWidth="1" style="15" min="2" max="2"/>
    <col width="10" customWidth="1" style="15" min="3" max="3"/>
    <col width="11" customWidth="1" style="15" min="4" max="4"/>
    <col width="10" customWidth="1" style="15" min="5" max="5"/>
    <col width="10" customWidth="1" style="15" min="6" max="6"/>
    <col width="10" customWidth="1" style="15" min="7" max="7"/>
    <col width="16" customWidth="1" style="15" min="8" max="8"/>
    <col width="11" customWidth="1" style="15" min="9" max="9"/>
    <col width="10" customWidth="1" style="15" min="10" max="10"/>
    <col width="10" customWidth="1" style="15" min="11" max="11"/>
    <col width="24" customWidth="1" style="15" min="12" max="12"/>
  </cols>
  <sheetData>
    <row r="1" ht="19.20000076293945" customHeight="1" s="15">
      <c r="A1" s="3" t="inlineStr">
        <is>
          <t>Artifact — 유물 데이터</t>
        </is>
      </c>
    </row>
    <row r="2" ht="15" customHeight="1" s="15">
      <c r="A2" s="7" t="inlineStr">
        <is>
          <t>한 판에 2개가 생성되고 같은 유물 중복이 가능합니다. 기능 흐름은 13 유물 기획을 기준으로 합니다.</t>
        </is>
      </c>
    </row>
    <row r="3"/>
    <row r="4" ht="15" customHeight="1" s="15">
      <c r="A4" s="14" t="inlineStr">
        <is>
          <t>ID</t>
        </is>
      </c>
      <c r="B4" s="14" t="inlineStr">
        <is>
          <t>유물</t>
        </is>
      </c>
      <c r="C4" s="14" t="inlineStr">
        <is>
          <t>수치 1</t>
        </is>
      </c>
      <c r="D4" s="14" t="inlineStr">
        <is>
          <t>단위 1</t>
        </is>
      </c>
      <c r="E4" s="14" t="inlineStr">
        <is>
          <t>수치 2</t>
        </is>
      </c>
      <c r="F4" s="14" t="inlineStr">
        <is>
          <t>단위 2</t>
        </is>
      </c>
      <c r="G4" s="14" t="inlineStr">
        <is>
          <t>범위</t>
        </is>
      </c>
      <c r="H4" s="14" t="inlineStr">
        <is>
          <t>중복</t>
        </is>
      </c>
      <c r="I4" s="14" t="inlineStr">
        <is>
          <t>토큰 제한</t>
        </is>
      </c>
      <c r="J4" s="14" t="inlineStr">
        <is>
          <t>상태</t>
        </is>
      </c>
      <c r="K4" s="14" t="inlineStr">
        <is>
          <t>기준 문서</t>
        </is>
      </c>
      <c r="L4" s="14" t="inlineStr">
        <is>
          <t>메모</t>
        </is>
      </c>
    </row>
    <row r="5" ht="15" customHeight="1" s="15">
      <c r="A5" s="19" t="n">
        <v>8000</v>
      </c>
      <c r="B5" s="19" t="inlineStr">
        <is>
          <t>펜타곤</t>
        </is>
      </c>
      <c r="C5" s="19" t="n">
        <v>5</v>
      </c>
      <c r="D5" s="19" t="inlineStr">
        <is>
          <t>센터 최대 수</t>
        </is>
      </c>
      <c r="E5" s="19" t="n">
        <v>50</v>
      </c>
      <c r="F5" s="19" t="inlineStr">
        <is>
          <t>이전 광물</t>
        </is>
      </c>
      <c r="G5" s="19" t="n"/>
      <c r="H5" s="19" t="inlineStr">
        <is>
          <t>한 판 내 중복 생성 불가</t>
        </is>
      </c>
      <c r="I5" s="19" t="n"/>
      <c r="J5" s="19" t="inlineStr">
        <is>
          <t>확정</t>
        </is>
      </c>
      <c r="K5" s="19" t="inlineStr">
        <is>
          <t>13 유물 기획</t>
        </is>
      </c>
      <c r="L5" s="19" t="n"/>
    </row>
    <row r="6" ht="15" customHeight="1" s="15">
      <c r="A6" s="19" t="n">
        <v>8001</v>
      </c>
      <c r="B6" s="19" t="inlineStr">
        <is>
          <t>버스터 콜</t>
        </is>
      </c>
      <c r="C6" s="19" t="n">
        <v>6</v>
      </c>
      <c r="D6" s="19" t="inlineStr">
        <is>
          <t>지름 타일</t>
        </is>
      </c>
      <c r="E6" s="19" t="n"/>
      <c r="F6" s="19" t="n"/>
      <c r="G6" s="19" t="inlineStr">
        <is>
          <t>유대 활성화</t>
        </is>
      </c>
      <c r="H6" s="19" t="inlineStr">
        <is>
          <t>한 판 내 중복 생성 불가</t>
        </is>
      </c>
      <c r="I6" s="19" t="n"/>
      <c r="J6" s="19" t="inlineStr">
        <is>
          <t>확정</t>
        </is>
      </c>
      <c r="K6" s="19" t="inlineStr">
        <is>
          <t>13 유물 기획</t>
        </is>
      </c>
      <c r="L6" s="19" t="inlineStr">
        <is>
          <t>블레이드 제외</t>
        </is>
      </c>
    </row>
    <row r="7" ht="15" customHeight="1" s="15">
      <c r="A7" s="19" t="n">
        <v>8002</v>
      </c>
      <c r="B7" s="19" t="inlineStr">
        <is>
          <t>태풍의 눈</t>
        </is>
      </c>
      <c r="C7" s="33" t="n">
        <v>0.33</v>
      </c>
      <c r="D7" s="19" t="inlineStr">
        <is>
          <t>감속률</t>
        </is>
      </c>
      <c r="E7" s="19" t="n"/>
      <c r="F7" s="19" t="n"/>
      <c r="G7" s="19" t="inlineStr">
        <is>
          <t>트랙 전체</t>
        </is>
      </c>
      <c r="H7" s="19" t="inlineStr">
        <is>
          <t>한 판 내 중복 생성 불가</t>
        </is>
      </c>
      <c r="I7" s="19" t="n"/>
      <c r="J7" s="19" t="inlineStr">
        <is>
          <t>상정</t>
        </is>
      </c>
      <c r="K7" s="19" t="inlineStr">
        <is>
          <t>13 유물 기획</t>
        </is>
      </c>
      <c r="L7" s="19" t="inlineStr">
        <is>
          <t>내부/내부화 몬스터 이동속도 33% 감소</t>
        </is>
      </c>
    </row>
    <row r="8" ht="15" customHeight="1" s="15">
      <c r="A8" s="19" t="n">
        <v>8003</v>
      </c>
      <c r="B8" s="19" t="inlineStr">
        <is>
          <t>영역 전개</t>
        </is>
      </c>
      <c r="C8" s="19" t="n"/>
      <c r="D8" s="19" t="n"/>
      <c r="E8" s="19" t="n"/>
      <c r="F8" s="19" t="n"/>
      <c r="G8" s="19" t="inlineStr">
        <is>
          <t>러너 중심</t>
        </is>
      </c>
      <c r="H8" s="19" t="inlineStr">
        <is>
          <t>한 판 내 중복 생성 불가</t>
        </is>
      </c>
      <c r="I8" s="19" t="n"/>
      <c r="J8" s="19" t="inlineStr">
        <is>
          <t>확정</t>
        </is>
      </c>
      <c r="K8" s="19" t="inlineStr">
        <is>
          <t>13 유물 기획</t>
        </is>
      </c>
      <c r="L8" s="19" t="inlineStr">
        <is>
          <t>방벽으로 성소 종류 기억/소환</t>
        </is>
      </c>
    </row>
    <row r="9" ht="15" customHeight="1" s="15">
      <c r="A9" s="19" t="n">
        <v>8004</v>
      </c>
      <c r="B9" s="19" t="inlineStr">
        <is>
          <t>등골 교환</t>
        </is>
      </c>
      <c r="C9" s="19" t="n">
        <v>30</v>
      </c>
      <c r="D9" s="19" t="inlineStr">
        <is>
          <t>HP 회복</t>
        </is>
      </c>
      <c r="E9" s="19" t="n">
        <v>10</v>
      </c>
      <c r="F9" s="19" t="inlineStr">
        <is>
          <t>초</t>
        </is>
      </c>
      <c r="G9" s="19" t="inlineStr">
        <is>
          <t>러너</t>
        </is>
      </c>
      <c r="H9" s="19" t="inlineStr">
        <is>
          <t>한 판 내 중복 생성 불가</t>
        </is>
      </c>
      <c r="I9" s="19" t="n"/>
      <c r="J9" s="19" t="inlineStr">
        <is>
          <t>확정</t>
        </is>
      </c>
      <c r="K9" s="19" t="inlineStr">
        <is>
          <t>13 유물 기획</t>
        </is>
      </c>
      <c r="L9" s="19" t="inlineStr">
        <is>
          <t>각성+무적</t>
        </is>
      </c>
    </row>
    <row r="10" ht="15" customHeight="1" s="15">
      <c r="A10" s="19" t="n">
        <v>8005</v>
      </c>
      <c r="B10" s="19" t="inlineStr">
        <is>
          <t>배송 로켓</t>
        </is>
      </c>
      <c r="C10" s="33" t="n">
        <v>0.5</v>
      </c>
      <c r="D10" s="19" t="inlineStr">
        <is>
          <t>지속 증가율</t>
        </is>
      </c>
      <c r="E10" s="33" t="n">
        <v>1</v>
      </c>
      <c r="F10" s="19" t="inlineStr">
        <is>
          <t>피해 증가율</t>
        </is>
      </c>
      <c r="G10" s="19" t="inlineStr">
        <is>
          <t>전역</t>
        </is>
      </c>
      <c r="H10" s="19" t="inlineStr">
        <is>
          <t>한 판 내 중복 생성 불가</t>
        </is>
      </c>
      <c r="I10" s="19" t="n"/>
      <c r="J10" s="19" t="inlineStr">
        <is>
          <t>상정</t>
        </is>
      </c>
      <c r="K10" s="19" t="inlineStr">
        <is>
          <t>13 유물 기획</t>
        </is>
      </c>
      <c r="L10" s="19" t="inlineStr">
        <is>
          <t>아이템 지속 +50%, 피해 +100%</t>
        </is>
      </c>
    </row>
    <row r="11" ht="15" customHeight="1" s="15">
      <c r="A11" s="19" t="n">
        <v>8006</v>
      </c>
      <c r="B11" s="19" t="inlineStr">
        <is>
          <t>스위치</t>
        </is>
      </c>
      <c r="C11" s="33" t="n">
        <v>0.1</v>
      </c>
      <c r="D11" s="19" t="inlineStr">
        <is>
          <t>타워 피해 비율</t>
        </is>
      </c>
      <c r="E11" s="33" t="n">
        <v>0.2</v>
      </c>
      <c r="F11" s="19" t="inlineStr">
        <is>
          <t>무기 피해 비율</t>
        </is>
      </c>
      <c r="G11" s="19" t="inlineStr">
        <is>
          <t>전역</t>
        </is>
      </c>
      <c r="H11" s="19" t="inlineStr">
        <is>
          <t>한 판 내 중복 생성 불가</t>
        </is>
      </c>
      <c r="I11" s="19" t="n"/>
      <c r="J11" s="19" t="inlineStr">
        <is>
          <t>확정</t>
        </is>
      </c>
      <c r="K11" s="19" t="inlineStr">
        <is>
          <t>13 유물 기획</t>
        </is>
      </c>
      <c r="L11" s="19" t="inlineStr">
        <is>
          <t>역할 교환</t>
        </is>
      </c>
    </row>
    <row r="12" ht="15" customHeight="1" s="15">
      <c r="A12" s="19" t="n">
        <v>8007</v>
      </c>
      <c r="B12" s="19" t="inlineStr">
        <is>
          <t>불씨앗</t>
        </is>
      </c>
      <c r="C12" s="33" t="n">
        <v>0.45</v>
      </c>
      <c r="D12" s="19" t="inlineStr">
        <is>
          <t>화염 증가율</t>
        </is>
      </c>
      <c r="E12" s="19" t="n">
        <v>1</v>
      </c>
      <c r="F12" s="19" t="inlineStr">
        <is>
          <t>부활 횟수</t>
        </is>
      </c>
      <c r="G12" s="19" t="inlineStr">
        <is>
          <t>전역</t>
        </is>
      </c>
      <c r="H12" s="19" t="inlineStr">
        <is>
          <t>한 판 내 중복 생성 불가</t>
        </is>
      </c>
      <c r="I12" s="19" t="n"/>
      <c r="J12" s="19" t="inlineStr">
        <is>
          <t>상정</t>
        </is>
      </c>
      <c r="K12" s="19" t="inlineStr">
        <is>
          <t>13 유물 기획</t>
        </is>
      </c>
      <c r="L12" s="19" t="inlineStr">
        <is>
          <t>화상 및 화염 계열 공격력 +45%</t>
        </is>
      </c>
    </row>
    <row r="13" ht="15" customHeight="1" s="15">
      <c r="A13" s="19" t="n">
        <v>8008</v>
      </c>
      <c r="B13" s="19" t="inlineStr">
        <is>
          <t>냉전</t>
        </is>
      </c>
      <c r="C13" s="33" t="n">
        <v>0.6</v>
      </c>
      <c r="D13" s="19" t="inlineStr">
        <is>
          <t>냉병기 증가율</t>
        </is>
      </c>
      <c r="E13" s="33" t="n">
        <v>0.25</v>
      </c>
      <c r="F13" s="19" t="inlineStr">
        <is>
          <t>빙결 확률</t>
        </is>
      </c>
      <c r="G13" s="19" t="inlineStr">
        <is>
          <t>유대 활성화</t>
        </is>
      </c>
      <c r="H13" s="19" t="inlineStr">
        <is>
          <t>한 판 내 중복 생성 불가</t>
        </is>
      </c>
      <c r="I13" s="19" t="inlineStr">
        <is>
          <t>일반 상품 비활성</t>
        </is>
      </c>
      <c r="J13" s="19" t="inlineStr">
        <is>
          <t>상정</t>
        </is>
      </c>
      <c r="K13" s="19" t="inlineStr">
        <is>
          <t>13 유물 기획</t>
        </is>
      </c>
      <c r="L13" s="19" t="inlineStr">
        <is>
          <t>블레이드·석궁 +60%</t>
        </is>
      </c>
    </row>
    <row r="14" ht="15" customHeight="1" s="15">
      <c r="A14" s="19" t="n">
        <v>8009</v>
      </c>
      <c r="B14" s="19" t="inlineStr">
        <is>
          <t>먹구름</t>
        </is>
      </c>
      <c r="C14" s="33" t="n">
        <v>0.3</v>
      </c>
      <c r="D14" s="19" t="inlineStr">
        <is>
          <t>전격·확산 증가율</t>
        </is>
      </c>
      <c r="E14" s="33" t="n">
        <v>0.3</v>
      </c>
      <c r="F14" s="19" t="inlineStr">
        <is>
          <t>총탄 증가율</t>
        </is>
      </c>
      <c r="G14" s="19" t="inlineStr">
        <is>
          <t>유대 활성화</t>
        </is>
      </c>
      <c r="H14" s="19" t="inlineStr">
        <is>
          <t>한 판 내 중복 생성 불가</t>
        </is>
      </c>
      <c r="I14" s="19" t="n"/>
      <c r="J14" s="19" t="inlineStr">
        <is>
          <t>상정</t>
        </is>
      </c>
      <c r="K14" s="19" t="inlineStr">
        <is>
          <t>13 유물 기획</t>
        </is>
      </c>
      <c r="L14" s="19" t="inlineStr">
        <is>
          <t>전격·확산·총탄 계열 +30%</t>
        </is>
      </c>
    </row>
  </sheetData>
  <autoFilter ref="A4:L14"/>
  <mergeCells count="2">
    <mergeCell ref="A2:L2"/>
    <mergeCell ref="A1:L1"/>
  </mergeCells>
  <conditionalFormatting sqref="J5:J14">
    <cfRule type="containsText" priority="1" operator="containsText" dxfId="0" text="확정"/>
    <cfRule type="containsText" priority="2" operator="containsText" dxfId="1" text="임시"/>
    <cfRule type="containsText" priority="3" operator="containsText" dxfId="2" text="질문 필요"/>
    <cfRule type="containsText" priority="4" operator="containsText" dxfId="3" text="추후 입력"/>
    <cfRule type="containsText" priority="5" operator="containsText" dxfId="4" text="보류"/>
  </conditionalFormatting>
  <dataValidations count="1">
    <dataValidation sqref="J5:J14" showDropDown="0" showInputMessage="0" showErrorMessage="0" allowBlank="0" type="list">
      <formula1>"확정,임시,질문 필요,추후 입력,보류"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6" customWidth="1" style="15" min="2" max="2"/>
    <col width="20" customWidth="1" style="15" min="3" max="3"/>
    <col width="10" customWidth="1" style="15" min="4" max="4"/>
    <col width="36" customWidth="1" style="15" min="5" max="5"/>
    <col width="15" customWidth="1" style="15" min="6" max="6"/>
  </cols>
  <sheetData>
    <row r="1" ht="19.20000076293945" customHeight="1" s="15">
      <c r="A1" s="3" t="inlineStr">
        <is>
          <t>Validation — 데이터 점검</t>
        </is>
      </c>
    </row>
    <row r="2" ht="15" customHeight="1" s="15">
      <c r="A2" s="7" t="inlineStr">
        <is>
          <t>다른 시트의 입력값을 참조하는 점검용 수식입니다. 이 시트의 결과 셀은 직접 수정하지 않습니다.</t>
        </is>
      </c>
    </row>
    <row r="3"/>
    <row r="4" ht="15" customHeight="1" s="15">
      <c r="A4" s="23" t="inlineStr">
        <is>
          <t>검사 ID</t>
        </is>
      </c>
      <c r="B4" s="23" t="inlineStr">
        <is>
          <t>검사 항목</t>
        </is>
      </c>
      <c r="C4" s="23" t="inlineStr">
        <is>
          <t>현재값</t>
        </is>
      </c>
      <c r="D4" s="23" t="inlineStr">
        <is>
          <t>목표/기준</t>
        </is>
      </c>
      <c r="E4" s="23" t="inlineStr">
        <is>
          <t>결과</t>
        </is>
      </c>
      <c r="F4" s="23" t="inlineStr">
        <is>
          <t>설명</t>
        </is>
      </c>
    </row>
    <row r="5" ht="15" customHeight="1" s="15">
      <c r="A5" s="19" t="inlineStr">
        <is>
          <t>CK001</t>
        </is>
      </c>
      <c r="B5" s="19" t="inlineStr">
        <is>
          <t>광물 총량</t>
        </is>
      </c>
      <c r="C5" s="36">
        <f>'Economy'!I5</f>
        <v/>
      </c>
      <c r="D5" s="36" t="n">
        <v>6600</v>
      </c>
      <c r="E5" s="19">
        <f>IF(ABS(C5-D5)&lt;0.0001,"정상","확인")</f>
        <v/>
      </c>
      <c r="F5" s="19" t="inlineStr">
        <is>
          <t>Economy 수식 참조</t>
        </is>
      </c>
    </row>
    <row r="6" ht="15" customHeight="1" s="15">
      <c r="A6" s="19" t="inlineStr">
        <is>
          <t>CK002</t>
        </is>
      </c>
      <c r="B6" s="19" t="inlineStr">
        <is>
          <t>가스 총량</t>
        </is>
      </c>
      <c r="C6" s="36">
        <f>'Economy'!I6</f>
        <v/>
      </c>
      <c r="D6" s="36" t="n">
        <v>3300</v>
      </c>
      <c r="E6" s="19">
        <f>IF(ABS(C6-D6)&lt;0.0001,"정상","확인")</f>
        <v/>
      </c>
      <c r="F6" s="19" t="inlineStr">
        <is>
          <t>Economy 수식 참조</t>
        </is>
      </c>
    </row>
    <row r="7" ht="15" customHeight="1" s="15">
      <c r="A7" s="19" t="inlineStr">
        <is>
          <t>CK003</t>
        </is>
      </c>
      <c r="B7" s="19" t="inlineStr">
        <is>
          <t>광물/가스 총량 비율</t>
        </is>
      </c>
      <c r="C7" s="40">
        <f>IF(C6=0,"",C5/C6)</f>
        <v/>
      </c>
      <c r="D7" s="40" t="n">
        <v>2</v>
      </c>
      <c r="E7" s="19">
        <f>IF(ABS(C7-D7)&lt;0.0001,"정상","확인")</f>
        <v/>
      </c>
      <c r="F7" s="19" t="inlineStr">
        <is>
          <t>초기 경제 목표</t>
        </is>
      </c>
    </row>
    <row r="8" ht="15" customHeight="1" s="15">
      <c r="A8" s="19" t="inlineStr">
        <is>
          <t>CK004</t>
        </is>
      </c>
      <c r="B8" s="19" t="inlineStr">
        <is>
          <t>일반 타워 속성 확률 합계</t>
        </is>
      </c>
      <c r="C8" s="33">
        <f>'Attribute'!H5</f>
        <v/>
      </c>
      <c r="D8" s="33" t="n">
        <v>1</v>
      </c>
      <c r="E8" s="19">
        <f>IF(ABS(C8-D8)&lt;0.0001,"정상","확인")</f>
        <v/>
      </c>
      <c r="F8" s="19" t="inlineStr">
        <is>
          <t>Attribute 합계</t>
        </is>
      </c>
    </row>
    <row r="9" ht="15" customHeight="1" s="15">
      <c r="A9" s="19" t="inlineStr">
        <is>
          <t>CK005</t>
        </is>
      </c>
      <c r="B9" s="19" t="inlineStr">
        <is>
          <t>블레이드 기본 확률 합계</t>
        </is>
      </c>
      <c r="C9" s="33">
        <f>'Attribute'!H6</f>
        <v/>
      </c>
      <c r="D9" s="33" t="n">
        <v>1</v>
      </c>
      <c r="E9" s="19">
        <f>IF(ABS(C9-D9)&lt;0.0001,"정상","확인")</f>
        <v/>
      </c>
      <c r="F9" s="19" t="inlineStr">
        <is>
          <t>Attribute 합계</t>
        </is>
      </c>
    </row>
    <row r="10" ht="15" customHeight="1" s="15">
      <c r="A10" s="19" t="inlineStr">
        <is>
          <t>CK006</t>
        </is>
      </c>
      <c r="B10" s="19" t="inlineStr">
        <is>
          <t>냉전 블레이드 확률 합계</t>
        </is>
      </c>
      <c r="C10" s="33">
        <f>'Attribute'!H7</f>
        <v/>
      </c>
      <c r="D10" s="33" t="n">
        <v>1</v>
      </c>
      <c r="E10" s="19">
        <f>IF(ABS(C10-D10)&lt;0.0001,"정상","확인")</f>
        <v/>
      </c>
      <c r="F10" s="19" t="inlineStr">
        <is>
          <t>Attribute 합계</t>
        </is>
      </c>
    </row>
  </sheetData>
  <autoFilter ref="A4:F10"/>
  <mergeCells count="2">
    <mergeCell ref="A2:F2"/>
    <mergeCell ref="A1:F1"/>
  </mergeCells>
  <conditionalFormatting sqref="E5:E10">
    <cfRule type="containsText" priority="1" operator="containsText" dxfId="0" text="정상"/>
    <cfRule type="containsText" priority="2" operator="containsText" dxfId="2" text="확인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5" customWidth="1" style="15" min="2" max="2"/>
    <col width="13" customWidth="1" style="15" min="3" max="3"/>
    <col width="10" customWidth="1" style="15" min="4" max="4"/>
    <col width="10" customWidth="1" style="15" min="5" max="5"/>
    <col width="10" customWidth="1" style="15" min="6" max="6"/>
    <col width="10" customWidth="1" style="15" min="7" max="7"/>
    <col width="16" customWidth="1" style="15" min="8" max="8"/>
    <col width="20" customWidth="1" style="15" min="9" max="9"/>
  </cols>
  <sheetData>
    <row r="1">
      <c r="A1" t="inlineStr">
        <is>
          <t>Hazard — 적대 지형 데이터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벌레지옥 기능은 04/05 기획서를 기준으로 하고, 이 시트에서는 조정 가능한 수치만 관리합니다.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/>
    <row r="4">
      <c r="A4" t="inlineStr">
        <is>
          <t>ID</t>
        </is>
      </c>
      <c r="B4" t="inlineStr">
        <is>
          <t>항목</t>
        </is>
      </c>
      <c r="C4" t="inlineStr">
        <is>
          <t>값 1</t>
        </is>
      </c>
      <c r="D4" t="inlineStr">
        <is>
          <t>단위 1</t>
        </is>
      </c>
      <c r="E4" t="inlineStr">
        <is>
          <t>값 2</t>
        </is>
      </c>
      <c r="F4" t="inlineStr">
        <is>
          <t>단위 2</t>
        </is>
      </c>
      <c r="G4" t="inlineStr">
        <is>
          <t>상태</t>
        </is>
      </c>
      <c r="H4" t="inlineStr">
        <is>
          <t>기준 문서</t>
        </is>
      </c>
      <c r="I4" t="inlineStr">
        <is>
          <t>메모</t>
        </is>
      </c>
    </row>
    <row r="5">
      <c r="A5" t="inlineStr">
        <is>
          <t>HZ001</t>
        </is>
      </c>
      <c r="B5" t="inlineStr">
        <is>
          <t>전체 지름</t>
        </is>
      </c>
      <c r="C5" t="n">
        <v>6</v>
      </c>
      <c r="D5" t="inlineStr">
        <is>
          <t>타일</t>
        </is>
      </c>
      <c r="G5" t="inlineStr">
        <is>
          <t>임시</t>
        </is>
      </c>
      <c r="H5" t="inlineStr">
        <is>
          <t>04 영역 사선 자원 기획</t>
        </is>
      </c>
      <c r="I5" t="inlineStr">
        <is>
          <t>원형 전체 범위</t>
        </is>
      </c>
    </row>
    <row r="6">
      <c r="A6" t="inlineStr">
        <is>
          <t>HZ002</t>
        </is>
      </c>
      <c r="B6" t="inlineStr">
        <is>
          <t>실제 발동 지름</t>
        </is>
      </c>
      <c r="C6" t="n">
        <v>4</v>
      </c>
      <c r="D6" t="inlineStr">
        <is>
          <t>타일</t>
        </is>
      </c>
      <c r="G6" t="inlineStr">
        <is>
          <t>임시</t>
        </is>
      </c>
      <c r="H6" t="inlineStr">
        <is>
          <t>04 영역 사선 자원 기획</t>
        </is>
      </c>
      <c r="I6" t="inlineStr">
        <is>
          <t>원형 발동 범위</t>
        </is>
      </c>
    </row>
    <row r="7">
      <c r="A7" t="inlineStr">
        <is>
          <t>HZ003</t>
        </is>
      </c>
      <c r="B7" t="inlineStr">
        <is>
          <t>끌어당김 속도</t>
        </is>
      </c>
      <c r="C7" t="n">
        <v>2</v>
      </c>
      <c r="D7" t="inlineStr">
        <is>
          <t>속도</t>
        </is>
      </c>
      <c r="G7" t="inlineStr">
        <is>
          <t>임시</t>
        </is>
      </c>
      <c r="H7" t="inlineStr">
        <is>
          <t>04 영역 사선 자원 기획</t>
        </is>
      </c>
      <c r="I7" t="inlineStr">
        <is>
          <t>완전 역방향 이동 시 0으로 수렴</t>
        </is>
      </c>
    </row>
    <row r="8">
      <c r="A8" t="inlineStr">
        <is>
          <t>HZ004</t>
        </is>
      </c>
      <c r="B8" t="inlineStr">
        <is>
          <t>폭파 시점</t>
        </is>
      </c>
      <c r="C8" t="n">
        <v>4</v>
      </c>
      <c r="D8" t="inlineStr">
        <is>
          <t>초</t>
        </is>
      </c>
      <c r="G8" t="inlineStr">
        <is>
          <t>임시</t>
        </is>
      </c>
      <c r="H8" t="inlineStr">
        <is>
          <t>04 영역 사선 자원 기획</t>
        </is>
      </c>
      <c r="I8" t="inlineStr">
        <is>
          <t>발동 후</t>
        </is>
      </c>
    </row>
    <row r="9">
      <c r="A9" t="inlineStr">
        <is>
          <t>HZ005</t>
        </is>
      </c>
      <c r="B9" t="inlineStr">
        <is>
          <t>폭파 피해 - 최대 체력</t>
        </is>
      </c>
      <c r="C9" s="39" t="n">
        <v>0.1</v>
      </c>
      <c r="D9" t="inlineStr">
        <is>
          <t>비율</t>
        </is>
      </c>
      <c r="G9" t="inlineStr">
        <is>
          <t>임시</t>
        </is>
      </c>
      <c r="H9" t="inlineStr">
        <is>
          <t>04 영역 사선 자원 기획</t>
        </is>
      </c>
      <c r="I9" t="inlineStr">
        <is>
          <t>러너 최대체력 10%</t>
        </is>
      </c>
    </row>
    <row r="10">
      <c r="A10" t="inlineStr">
        <is>
          <t>HZ006</t>
        </is>
      </c>
      <c r="B10" t="inlineStr">
        <is>
          <t>폭파 피해 - 현재 체력</t>
        </is>
      </c>
      <c r="C10" s="39" t="n">
        <v>0.3</v>
      </c>
      <c r="D10" t="inlineStr">
        <is>
          <t>비율</t>
        </is>
      </c>
      <c r="G10" t="inlineStr">
        <is>
          <t>임시</t>
        </is>
      </c>
      <c r="H10" t="inlineStr">
        <is>
          <t>04 영역 사선 자원 기획</t>
        </is>
      </c>
      <c r="I10" t="inlineStr">
        <is>
          <t>러너 현재체력 30%</t>
        </is>
      </c>
    </row>
    <row r="11">
      <c r="A11" t="inlineStr">
        <is>
          <t>HZ007</t>
        </is>
      </c>
      <c r="B11" t="inlineStr">
        <is>
          <t>발동 중 사선 상태</t>
        </is>
      </c>
      <c r="C11" t="inlineStr">
        <is>
          <t>영혼</t>
        </is>
      </c>
      <c r="D11" t="inlineStr">
        <is>
          <t>상태</t>
        </is>
      </c>
      <c r="G11" t="inlineStr">
        <is>
          <t>확정</t>
        </is>
      </c>
      <c r="H11" t="inlineStr">
        <is>
          <t>04 영역 사선 자원 기획</t>
        </is>
      </c>
      <c r="I11" t="inlineStr">
        <is>
          <t>사선으로부터 자유</t>
        </is>
      </c>
    </row>
    <row r="12">
      <c r="A12" t="inlineStr">
        <is>
          <t>HZ008</t>
        </is>
      </c>
      <c r="B12" t="inlineStr">
        <is>
          <t>포인트(1)</t>
        </is>
      </c>
      <c r="C12" t="inlineStr">
        <is>
          <t>발동 시작 위치</t>
        </is>
      </c>
      <c r="D12" t="inlineStr">
        <is>
          <t>위치</t>
        </is>
      </c>
      <c r="G12" t="inlineStr">
        <is>
          <t>확정</t>
        </is>
      </c>
      <c r="H12" t="inlineStr">
        <is>
          <t>04 영역 사선 자원 기획</t>
        </is>
      </c>
      <c r="I12" t="inlineStr">
        <is>
          <t>저장</t>
        </is>
      </c>
    </row>
    <row r="13">
      <c r="A13" t="inlineStr">
        <is>
          <t>HZ009</t>
        </is>
      </c>
      <c r="B13" t="inlineStr">
        <is>
          <t>포인트(2)</t>
        </is>
      </c>
      <c r="C13" t="inlineStr">
        <is>
          <t>전체 범위 이탈 위치</t>
        </is>
      </c>
      <c r="D13" t="inlineStr">
        <is>
          <t>위치</t>
        </is>
      </c>
      <c r="G13" t="inlineStr">
        <is>
          <t>확정</t>
        </is>
      </c>
      <c r="H13" t="inlineStr">
        <is>
          <t>04 영역 사선 자원 기획</t>
        </is>
      </c>
      <c r="I13" t="inlineStr">
        <is>
          <t>포인트(1)과 연결</t>
        </is>
      </c>
    </row>
    <row r="14">
      <c r="A14" t="inlineStr">
        <is>
          <t>HZ010</t>
        </is>
      </c>
      <c r="B14" t="inlineStr">
        <is>
          <t>포인트(3)</t>
        </is>
      </c>
      <c r="C14" t="inlineStr">
        <is>
          <t>폭파 시점 위치</t>
        </is>
      </c>
      <c r="D14" t="inlineStr">
        <is>
          <t>위치</t>
        </is>
      </c>
      <c r="G14" t="inlineStr">
        <is>
          <t>확정</t>
        </is>
      </c>
      <c r="H14" t="inlineStr">
        <is>
          <t>04 영역 사선 자원 기획</t>
        </is>
      </c>
      <c r="I14" t="inlineStr">
        <is>
          <t>포인트(1)과 연결</t>
        </is>
      </c>
    </row>
  </sheetData>
  <autoFilter ref="A4:I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3" customWidth="1" style="15" min="2" max="2"/>
    <col width="10" customWidth="1" style="15" min="3" max="3"/>
    <col width="10" customWidth="1" style="15" min="4" max="4"/>
    <col width="10" customWidth="1" style="15" min="5" max="5"/>
    <col width="10" customWidth="1" style="15" min="6" max="6"/>
    <col width="10" customWidth="1" style="15" min="7" max="7"/>
    <col width="30" customWidth="1" style="15" min="8" max="8"/>
  </cols>
  <sheetData>
    <row r="1">
      <c r="A1" t="inlineStr">
        <is>
          <t>MonsterPattern — 라플라시아 패턴 데이터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패턴 순서와 시간 조정값만 관리하며 행동 규칙은 07 몬스터 기획을 기준으로 합니다.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/>
    <row r="4">
      <c r="A4" t="inlineStr">
        <is>
          <t>ID</t>
        </is>
      </c>
      <c r="B4" t="inlineStr">
        <is>
          <t>패턴</t>
        </is>
      </c>
      <c r="C4" t="inlineStr">
        <is>
          <t>반복 횟수</t>
        </is>
      </c>
      <c r="D4" t="inlineStr">
        <is>
          <t>방향 수</t>
        </is>
      </c>
      <c r="E4" t="inlineStr">
        <is>
          <t>발사 간격</t>
        </is>
      </c>
      <c r="F4" t="inlineStr">
        <is>
          <t>단위</t>
        </is>
      </c>
      <c r="G4" t="inlineStr">
        <is>
          <t>상태</t>
        </is>
      </c>
      <c r="H4" t="inlineStr">
        <is>
          <t>메모</t>
        </is>
      </c>
    </row>
    <row r="5">
      <c r="A5" t="inlineStr">
        <is>
          <t>LP001</t>
        </is>
      </c>
      <c r="B5" t="inlineStr">
        <is>
          <t>8각</t>
        </is>
      </c>
      <c r="C5" t="n">
        <v>1</v>
      </c>
      <c r="D5" t="n">
        <v>8</v>
      </c>
      <c r="F5" t="inlineStr">
        <is>
          <t>초</t>
        </is>
      </c>
      <c r="G5" t="inlineStr">
        <is>
          <t>추후 입력</t>
        </is>
      </c>
      <c r="H5" t="inlineStr">
        <is>
          <t>8방향 동시 발사</t>
        </is>
      </c>
    </row>
    <row r="6">
      <c r="A6" t="inlineStr">
        <is>
          <t>LP002</t>
        </is>
      </c>
      <c r="B6" t="inlineStr">
        <is>
          <t>십자</t>
        </is>
      </c>
      <c r="C6" t="n">
        <v>4</v>
      </c>
      <c r="D6" t="n">
        <v>4</v>
      </c>
      <c r="E6" t="n">
        <v>0.25</v>
      </c>
      <c r="F6" t="inlineStr">
        <is>
          <t>초</t>
        </is>
      </c>
      <c r="G6" t="inlineStr">
        <is>
          <t>확정</t>
        </is>
      </c>
      <c r="H6" t="inlineStr">
        <is>
          <t>+ 형태, 각 횟수 간 0.25초</t>
        </is>
      </c>
    </row>
    <row r="7">
      <c r="A7" t="inlineStr">
        <is>
          <t>LP003</t>
        </is>
      </c>
      <c r="B7" t="inlineStr">
        <is>
          <t>X자</t>
        </is>
      </c>
      <c r="C7" t="n">
        <v>4</v>
      </c>
      <c r="D7" t="n">
        <v>4</v>
      </c>
      <c r="E7" t="n">
        <v>0.25</v>
      </c>
      <c r="F7" t="inlineStr">
        <is>
          <t>초</t>
        </is>
      </c>
      <c r="G7" t="inlineStr">
        <is>
          <t>확정</t>
        </is>
      </c>
      <c r="H7" t="inlineStr">
        <is>
          <t>X 형태, 각 횟수 간 0.25초</t>
        </is>
      </c>
    </row>
    <row r="8">
      <c r="A8" t="inlineStr">
        <is>
          <t>LP004</t>
        </is>
      </c>
      <c r="B8" t="inlineStr">
        <is>
          <t>회전</t>
        </is>
      </c>
      <c r="C8" t="n">
        <v>1</v>
      </c>
      <c r="D8" t="n">
        <v>16</v>
      </c>
      <c r="E8" t="n">
        <v>0.15</v>
      </c>
      <c r="F8" t="inlineStr">
        <is>
          <t>초</t>
        </is>
      </c>
      <c r="G8" t="inlineStr">
        <is>
          <t>확정</t>
        </is>
      </c>
      <c r="H8" t="inlineStr">
        <is>
          <t>좌/우 지점에서 시작해 위/아래로 진행</t>
        </is>
      </c>
    </row>
    <row r="9">
      <c r="A9" t="inlineStr">
        <is>
          <t>LP005</t>
        </is>
      </c>
      <c r="B9" t="inlineStr">
        <is>
          <t>패턴 순서</t>
        </is>
      </c>
      <c r="C9" t="inlineStr">
        <is>
          <t>1</t>
        </is>
      </c>
      <c r="G9" t="inlineStr">
        <is>
          <t>확정</t>
        </is>
      </c>
      <c r="H9" t="inlineStr">
        <is>
          <t>8각 → 십자 4회 → X자 4회 → 회전 → 8각</t>
        </is>
      </c>
    </row>
    <row r="10">
      <c r="A10" t="inlineStr">
        <is>
          <t>LP006</t>
        </is>
      </c>
      <c r="B10" t="inlineStr">
        <is>
          <t>패턴 간 대기</t>
        </is>
      </c>
      <c r="E10" t="n">
        <v>1.5</v>
      </c>
      <c r="F10" t="inlineStr">
        <is>
          <t>초</t>
        </is>
      </c>
      <c r="G10" t="inlineStr">
        <is>
          <t>확정</t>
        </is>
      </c>
      <c r="H10" t="inlineStr">
        <is>
          <t>각 패턴 첫 발동 후 다음 패턴까지</t>
        </is>
      </c>
    </row>
    <row r="11">
      <c r="A11" t="inlineStr">
        <is>
          <t>LP007</t>
        </is>
      </c>
      <c r="B11" t="inlineStr">
        <is>
          <t>라플라시아 크기</t>
        </is>
      </c>
      <c r="C11" t="n">
        <v>3</v>
      </c>
      <c r="D11" t="inlineStr">
        <is>
          <t>타일 지름</t>
        </is>
      </c>
      <c r="G11" t="inlineStr">
        <is>
          <t>확정</t>
        </is>
      </c>
      <c r="H11" t="inlineStr">
        <is>
          <t>센터 타워와 동일</t>
        </is>
      </c>
    </row>
    <row r="12">
      <c r="A12" t="inlineStr">
        <is>
          <t>LP008</t>
        </is>
      </c>
      <c r="B12" t="inlineStr">
        <is>
          <t>접촉 시 공격 정지</t>
        </is>
      </c>
      <c r="C12" t="b">
        <v>1</v>
      </c>
      <c r="G12" t="inlineStr">
        <is>
          <t>확정</t>
        </is>
      </c>
      <c r="H12" t="inlineStr">
        <is>
          <t>러너와 맞닿으면 영구 정지 + 경직</t>
        </is>
      </c>
    </row>
    <row r="13">
      <c r="A13" t="inlineStr">
        <is>
          <t>LP009</t>
        </is>
      </c>
      <c r="B13" t="inlineStr">
        <is>
          <t>접촉 후 영역화 토큰</t>
        </is>
      </c>
      <c r="C13" t="n">
        <v>2</v>
      </c>
      <c r="D13" t="inlineStr">
        <is>
          <t>개</t>
        </is>
      </c>
      <c r="G13" t="inlineStr">
        <is>
          <t>확정</t>
        </is>
      </c>
      <c r="H13" t="inlineStr">
        <is>
          <t>경직 후 영역화 시 확정 지급</t>
        </is>
      </c>
    </row>
  </sheetData>
  <autoFilter ref="A4:H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style="15" min="1" max="1"/>
    <col width="10" customWidth="1" style="15" min="2" max="2"/>
    <col width="37" customWidth="1" style="15" min="3" max="3"/>
    <col width="10" customWidth="1" style="15" min="4" max="4"/>
    <col width="10" customWidth="1" style="15" min="5" max="5"/>
  </cols>
  <sheetData>
    <row r="1">
      <c r="A1" t="inlineStr">
        <is>
          <t>ChangeLog — 0.50v → 0.60v</t>
        </is>
      </c>
      <c r="B1" t="inlineStr"/>
      <c r="C1" t="inlineStr"/>
      <c r="D1" t="inlineStr"/>
      <c r="E1" t="inlineStr"/>
    </row>
    <row r="2"/>
    <row r="3">
      <c r="A3" t="inlineStr">
        <is>
          <t>변경</t>
        </is>
      </c>
      <c r="B3" t="inlineStr">
        <is>
          <t>영역</t>
        </is>
      </c>
      <c r="C3" t="inlineStr">
        <is>
          <t>내용</t>
        </is>
      </c>
      <c r="D3" t="inlineStr">
        <is>
          <t>근거</t>
        </is>
      </c>
      <c r="E3" t="inlineStr">
        <is>
          <t>상태</t>
        </is>
      </c>
    </row>
    <row r="4">
      <c r="A4" t="inlineStr">
        <is>
          <t>CH001</t>
        </is>
      </c>
      <c r="B4" t="inlineStr">
        <is>
          <t>질문 반영</t>
        </is>
      </c>
      <c r="C4" t="inlineStr">
        <is>
          <t>속성 3개 묶음 보너스 확정: 센터/지원 제외, 최대 제한 없음</t>
        </is>
      </c>
      <c r="D4" t="inlineStr">
        <is>
          <t>Q1</t>
        </is>
      </c>
      <c r="E4" t="inlineStr">
        <is>
          <t>반영</t>
        </is>
      </c>
    </row>
    <row r="5">
      <c r="A5" t="inlineStr">
        <is>
          <t>CH002</t>
        </is>
      </c>
      <c r="B5" t="inlineStr">
        <is>
          <t>질문 반영</t>
        </is>
      </c>
      <c r="C5" t="inlineStr">
        <is>
          <t>센터 속성 확률 +10%p 재분배 확정</t>
        </is>
      </c>
      <c r="D5" t="inlineStr">
        <is>
          <t>Q2</t>
        </is>
      </c>
      <c r="E5" t="inlineStr">
        <is>
          <t>반영</t>
        </is>
      </c>
    </row>
    <row r="6">
      <c r="A6" t="inlineStr">
        <is>
          <t>CH003</t>
        </is>
      </c>
      <c r="B6" t="inlineStr">
        <is>
          <t>질문 반영</t>
        </is>
      </c>
      <c r="C6" t="inlineStr">
        <is>
          <t>센터 재사용 단계/특수기 사용 규칙 확정</t>
        </is>
      </c>
      <c r="D6" t="inlineStr">
        <is>
          <t>Q3</t>
        </is>
      </c>
      <c r="E6" t="inlineStr">
        <is>
          <t>반영</t>
        </is>
      </c>
    </row>
    <row r="7">
      <c r="A7" t="inlineStr">
        <is>
          <t>CH004</t>
        </is>
      </c>
      <c r="B7" t="inlineStr">
        <is>
          <t>질문 반영</t>
        </is>
      </c>
      <c r="C7" t="inlineStr">
        <is>
          <t>주파력 30→60→90→120 확정</t>
        </is>
      </c>
      <c r="D7" t="inlineStr">
        <is>
          <t>Q4</t>
        </is>
      </c>
      <c r="E7" t="inlineStr">
        <is>
          <t>반영</t>
        </is>
      </c>
    </row>
    <row r="8">
      <c r="A8" t="inlineStr">
        <is>
          <t>CH005</t>
        </is>
      </c>
      <c r="B8" t="inlineStr">
        <is>
          <t>질문 반영</t>
        </is>
      </c>
      <c r="C8" t="inlineStr">
        <is>
          <t>미네랄/가스 1000 누적 해금 및 판 초기화</t>
        </is>
      </c>
      <c r="D8" t="inlineStr">
        <is>
          <t>Q5</t>
        </is>
      </c>
      <c r="E8" t="inlineStr">
        <is>
          <t>반영</t>
        </is>
      </c>
    </row>
    <row r="9">
      <c r="A9" t="inlineStr">
        <is>
          <t>CH006</t>
        </is>
      </c>
      <c r="B9" t="inlineStr">
        <is>
          <t>질문 반영</t>
        </is>
      </c>
      <c r="C9" t="inlineStr">
        <is>
          <t>나침반/뱃지 판당 1회, 왜곡 50%, 격리 보류</t>
        </is>
      </c>
      <c r="D9" t="inlineStr">
        <is>
          <t>Q6</t>
        </is>
      </c>
      <c r="E9" t="inlineStr">
        <is>
          <t>반영</t>
        </is>
      </c>
    </row>
    <row r="10">
      <c r="A10" t="inlineStr">
        <is>
          <t>CH007</t>
        </is>
      </c>
      <c r="B10" t="inlineStr">
        <is>
          <t>질문 반영</t>
        </is>
      </c>
      <c r="C10" t="inlineStr">
        <is>
          <t>유물 한 판 내 중복 생성 불가, 폐기 토큰 2</t>
        </is>
      </c>
      <c r="D10" t="inlineStr">
        <is>
          <t>Q7</t>
        </is>
      </c>
      <c r="E10" t="inlineStr">
        <is>
          <t>반영</t>
        </is>
      </c>
    </row>
    <row r="11">
      <c r="A11" t="inlineStr">
        <is>
          <t>CH008</t>
        </is>
      </c>
      <c r="B11" t="inlineStr">
        <is>
          <t>질문 반영</t>
        </is>
      </c>
      <c r="C11" t="inlineStr">
        <is>
          <t>유물 상정 수치 반영</t>
        </is>
      </c>
      <c r="D11" t="inlineStr">
        <is>
          <t>Q8</t>
        </is>
      </c>
      <c r="E11" t="inlineStr">
        <is>
          <t>상정</t>
        </is>
      </c>
    </row>
    <row r="12">
      <c r="A12" t="inlineStr">
        <is>
          <t>CH009</t>
        </is>
      </c>
      <c r="B12" t="inlineStr">
        <is>
          <t>질문 반영</t>
        </is>
      </c>
      <c r="C12" t="inlineStr">
        <is>
          <t>배송 로켓 보급 예외 및 생명선 즉시 소지</t>
        </is>
      </c>
      <c r="D12" t="inlineStr">
        <is>
          <t>Q9</t>
        </is>
      </c>
      <c r="E12" t="inlineStr">
        <is>
          <t>반영</t>
        </is>
      </c>
    </row>
    <row r="13">
      <c r="A13" t="inlineStr">
        <is>
          <t>CH010</t>
        </is>
      </c>
      <c r="B13" t="inlineStr">
        <is>
          <t>질문 반영</t>
        </is>
      </c>
      <c r="C13" t="inlineStr">
        <is>
          <t>즉시 보상 성소의 임시 영역 유지</t>
        </is>
      </c>
      <c r="D13" t="inlineStr">
        <is>
          <t>Q10</t>
        </is>
      </c>
      <c r="E13" t="inlineStr">
        <is>
          <t>반영</t>
        </is>
      </c>
    </row>
    <row r="14">
      <c r="A14" t="inlineStr">
        <is>
          <t>CH011</t>
        </is>
      </c>
      <c r="B14" t="inlineStr">
        <is>
          <t>미확정 유지</t>
        </is>
      </c>
      <c r="C14" t="inlineStr">
        <is>
          <t>8~10웨이브 및 11웨이브 이후 강화폭</t>
        </is>
      </c>
      <c r="D14" t="inlineStr">
        <is>
          <t>Q11</t>
        </is>
      </c>
      <c r="E14" t="inlineStr">
        <is>
          <t>추후</t>
        </is>
      </c>
    </row>
    <row r="15">
      <c r="A15" t="inlineStr">
        <is>
          <t>CH012</t>
        </is>
      </c>
      <c r="B15" t="inlineStr">
        <is>
          <t>질문 반영</t>
        </is>
      </c>
      <c r="C15" t="inlineStr">
        <is>
          <t>빙하설원 자연 지형 30, 화산지대 벌레지옥 20</t>
        </is>
      </c>
      <c r="D15" t="inlineStr">
        <is>
          <t>Q12</t>
        </is>
      </c>
      <c r="E15" t="inlineStr">
        <is>
          <t>반영</t>
        </is>
      </c>
    </row>
    <row r="16">
      <c r="A16" t="inlineStr">
        <is>
          <t>CH013</t>
        </is>
      </c>
      <c r="B16" t="inlineStr">
        <is>
          <t>추가 기획 편입</t>
        </is>
      </c>
      <c r="C16" t="inlineStr">
        <is>
          <t>벌레지옥/라플라시아/몬스터 추가 데이터를 별도 데이터화</t>
        </is>
      </c>
      <c r="D16" t="inlineStr">
        <is>
          <t>추가 txt</t>
        </is>
      </c>
      <c r="E16" t="inlineStr">
        <is>
          <t>반영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2026-08-21T12:01:54Z</dcterms:created>
  <dcterms:modified xmlns:dcterms="http://purl.org/dc/terms/" xmlns:xsi="http://www.w3.org/2001/XMLSchema-instance" xsi:type="dcterms:W3CDTF">2026-08-21T12:01:55Z</dcterms:modified>
</cp:coreProperties>
</file>