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5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6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7.xml" ContentType="application/vnd.openxmlformats-officedocument.spreadsheetml.worksheet+xml"/>
  <Override PartName="/xl/tables/table13.xml" ContentType="application/vnd.openxmlformats-officedocument.spreadsheetml.table+xml"/>
  <Override PartName="/xl/worksheets/sheet8.xml" ContentType="application/vnd.openxmlformats-officedocument.spreadsheetml.worksheet+xml"/>
  <Override PartName="/xl/tables/table14.xml" ContentType="application/vnd.openxmlformats-officedocument.spreadsheetml.table+xml"/>
  <Override PartName="/xl/worksheets/sheet9.xml" ContentType="application/vnd.openxmlformats-officedocument.spreadsheetml.worksheet+xml"/>
  <Override PartName="/xl/tables/table15.xml" ContentType="application/vnd.openxmlformats-officedocument.spreadsheetml.table+xml"/>
  <Override PartName="/xl/worksheets/sheet10.xml" ContentType="application/vnd.openxmlformats-officedocument.spreadsheetml.worksheet+xml"/>
  <Override PartName="/xl/tables/table16.xml" ContentType="application/vnd.openxmlformats-officedocument.spreadsheetml.table+xml"/>
  <Override PartName="/xl/worksheets/sheet11.xml" ContentType="application/vnd.openxmlformats-officedocument.spreadsheetml.worksheet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worksheets/sheet12.xml" ContentType="application/vnd.openxmlformats-officedocument.spreadsheetml.worksheet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worksheets/sheet13.xml" ContentType="application/vnd.openxmlformats-officedocument.spreadsheetml.worksheet+xml"/>
  <Override PartName="/xl/tables/table22.xml" ContentType="application/vnd.openxmlformats-officedocument.spreadsheetml.table+xml"/>
  <Override PartName="/xl/worksheets/sheet14.xml" ContentType="application/vnd.openxmlformats-officedocument.spreadsheetml.worksheet+xml"/>
  <Override PartName="/xl/tables/table23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5a4ff6753f44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cd80e6dcbd742fe"/>
    <x:sheet xmlns:r="http://schemas.openxmlformats.org/officeDocument/2006/relationships" name="Global" sheetId="2" r:id="R0b6511873ce141b8"/>
    <x:sheet xmlns:r="http://schemas.openxmlformats.org/officeDocument/2006/relationships" name="Runner" sheetId="3" r:id="R93213d413cf6497f"/>
    <x:sheet xmlns:r="http://schemas.openxmlformats.org/officeDocument/2006/relationships" name="Economy" sheetId="4" r:id="Rc8ff54ddce7e4b54"/>
    <x:sheet xmlns:r="http://schemas.openxmlformats.org/officeDocument/2006/relationships" name="Tower" sheetId="5" r:id="Rb2dc3e023b2e4527"/>
    <x:sheet xmlns:r="http://schemas.openxmlformats.org/officeDocument/2006/relationships" name="Attribute" sheetId="6" r:id="R02193b91f3d1491f"/>
    <x:sheet xmlns:r="http://schemas.openxmlformats.org/officeDocument/2006/relationships" name="Item" sheetId="7" r:id="Rf1535d8f5d4c4311"/>
    <x:sheet xmlns:r="http://schemas.openxmlformats.org/officeDocument/2006/relationships" name="Skill" sheetId="8" r:id="R61e17afd18264aed"/>
    <x:sheet xmlns:r="http://schemas.openxmlformats.org/officeDocument/2006/relationships" name="Weapon" sheetId="9" r:id="R21992f10b9474a71"/>
    <x:sheet xmlns:r="http://schemas.openxmlformats.org/officeDocument/2006/relationships" name="Monster" sheetId="10" r:id="R8e5e793fb8e24af6"/>
    <x:sheet xmlns:r="http://schemas.openxmlformats.org/officeDocument/2006/relationships" name="Wave" sheetId="11" r:id="R491cb594cb294aab"/>
    <x:sheet xmlns:r="http://schemas.openxmlformats.org/officeDocument/2006/relationships" name="Map" sheetId="12" r:id="R01ce9c18619c44eb"/>
    <x:sheet xmlns:r="http://schemas.openxmlformats.org/officeDocument/2006/relationships" name="Artifact" sheetId="13" r:id="R0a1a4f5137ee4fea"/>
    <x:sheet xmlns:r="http://schemas.openxmlformats.org/officeDocument/2006/relationships" name="Validation" sheetId="14" r:id="R56f7c7856efd4adb"/>
  </x:sheets>
</x:workbook>
</file>

<file path=xl/comments1.xml><?xml version="1.0" encoding="utf-8"?>
<x:comments xmlns:x="http://schemas.openxmlformats.org/spreadsheetml/2006/main">
  <x:authors>
    <x:author>tc={C1E9FE34-48C8-6CA0-CF6F-D32EA3C54EE4}</x:author>
  </x:authors>
  <x:commentList>
    <x:comment ref="D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최초 플레이 테스트용 임시 생성량입니다. 총량과 실제 소비 속도를 비교해 조정합니다.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"/>
    <x:numFmt numFmtId="201" formatCode="0.0%"/>
    <x:numFmt numFmtId="202" formatCode="0.0x"/>
    <x:numFmt numFmtId="203" formatCode="0.0"/>
    <x:numFmt numFmtId="204" formatCode="#,##0"/>
    <x:numFmt numFmtId="205" formatCode="0.##"/>
    <x:numFmt numFmtId="206" formatCode="0.0#"/>
    <x:numFmt numFmtId="207" formatCode="0.00x"/>
  </x:numFmts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1F2933"/>
      <x:name val="Carlito"/>
    </x:font>
    <x:font>
      <x:sz val="9"/>
      <x:color rgb="FF1F2933"/>
      <x:name val="Aptos"/>
    </x:font>
    <x:font>
      <x:b/>
      <x:sz val="9"/>
      <x:color rgb="FFFFFFFF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74A5B"/>
      </x:patternFill>
    </x:fill>
    <x:fill>
      <x:patternFill patternType="solid">
        <x:fgColor rgb="FFDFF3F8"/>
      </x:patternFill>
    </x:fill>
    <x:fill>
      <x:patternFill patternType="solid">
        <x:fgColor rgb="FF0B7896"/>
      </x:patternFill>
    </x:fill>
    <x:fill>
      <x:patternFill patternType="solid">
        <x:fgColor rgb="FFE8752E"/>
      </x:patternFill>
    </x:fill>
    <x:fill>
      <x:patternFill patternType="solid">
        <x:fgColor rgb="FF3A8D5D"/>
      </x:patternFill>
    </x:fill>
  </x:fills>
  <x:borders count="3">
    <x:border/>
    <x:border>
      <x:bottom style="thin">
        <x:color rgb="FFC7D0D5"/>
      </x:bottom>
    </x:border>
    <x:border>
      <x:top style="thin">
        <x:color rgb="FFC7D0D5"/>
      </x:top>
      <x:bottom style="thin">
        <x:color rgb="FFC7D0D5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2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3" fillId="0" borderId="2" xfId="0" applyNumberFormat="1" applyFont="1" applyFill="1" applyBorder="1" applyAlignment="1">
      <x:alignment vertical="center" wrapText="1"/>
    </x:xf>
    <x:xf numFmtId="201" fontId="3" fillId="0" borderId="2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202" fontId="3" fillId="0" borderId="2" xfId="0" applyNumberFormat="1" applyFont="1" applyFill="1" applyBorder="1" applyAlignment="1">
      <x:alignment vertical="center" wrapText="1"/>
    </x:xf>
    <x:xf numFmtId="203" fontId="3" fillId="0" borderId="2" xfId="0" applyNumberFormat="1" applyFont="1" applyFill="1" applyBorder="1" applyAlignment="1">
      <x:alignment vertical="center" wrapText="1"/>
    </x:xf>
    <x:xf numFmtId="0" fontId="3" fillId="6" borderId="1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204" fontId="3" fillId="0" borderId="2" xfId="0" applyNumberFormat="1" applyFont="1" applyFill="1" applyBorder="1" applyAlignment="1">
      <x:alignment vertical="center" wrapText="1"/>
    </x:xf>
    <x:xf numFmtId="205" fontId="3" fillId="0" borderId="2" xfId="0" applyNumberFormat="1" applyFont="1" applyFill="1" applyBorder="1" applyAlignment="1">
      <x:alignment vertical="center" wrapText="1"/>
    </x:xf>
    <x:xf numFmtId="206" fontId="3" fillId="0" borderId="2" xfId="0" applyNumberFormat="1" applyFont="1" applyFill="1" applyBorder="1" applyAlignment="1">
      <x:alignment vertical="center" wrapText="1"/>
    </x:xf>
    <x:xf numFmtId="207" fontId="3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02">
    <x:dxf>
      <x:font>
        <x:b/>
        <x:color rgb="FF3A8D5D"/>
      </x:font>
      <x:fill>
        <x:patternFill patternType="solid">
          <x:bgColor rgb="FFE5F4EA"/>
        </x:patternFill>
      </x:fill>
    </x:dxf>
    <x:dxf>
      <x:font>
        <x:b/>
        <x:color rgb="FF8A5A00"/>
      </x:font>
      <x:fill>
        <x:patternFill patternType="solid">
          <x:bgColor rgb="FFFFF3CD"/>
        </x:patternFill>
      </x:fill>
    </x:dxf>
    <x:dxf>
      <x:font>
        <x:b/>
        <x:color rgb="FFA61B1B"/>
      </x:font>
      <x:fill>
        <x:patternFill patternType="solid">
          <x:bgColor rgb="FFFCE4E4"/>
        </x:patternFill>
      </x:fill>
    </x:dxf>
    <x:dxf>
      <x:font>
        <x:color rgb="FF5B6570"/>
      </x:font>
      <x:fill>
        <x:patternFill patternType="solid">
          <x:bgColor rgb="FFEEF1F3"/>
        </x:patternFill>
      </x:fill>
    </x:dxf>
    <x:dxf>
      <x:font>
        <x:i/>
        <x:color rgb="FF5B6570"/>
      </x:font>
      <x:fill>
        <x:patternFill patternType="solid">
          <x:bgColor rgb="FFEEF1F3"/>
        </x:patternFill>
      </x:fill>
    </x:dxf>
    <x:dxf>
      <x:font>
        <x:b/>
        <x:color rgb="FF3A8D5D"/>
      </x:font>
      <x:fill>
        <x:patternFill patternType="solid">
          <x:bgColor rgb="FFE5F4EA"/>
        </x:patternFill>
      </x:fill>
    </x:dxf>
    <x:dxf>
      <x:font>
        <x:b/>
        <x:color rgb="FF8A5A00"/>
      </x:font>
      <x:fill>
        <x:patternFill patternType="solid">
          <x:bgColor rgb="FFFFF3CD"/>
        </x:patternFill>
      </x:fill>
    </x:dxf>
    <x:dxf>
      <x:font>
        <x:b/>
        <x:color rgb="FFA61B1B"/>
      </x:font>
      <x:fill>
        <x:patternFill patternType="solid">
          <x:bgColor rgb="FFFCE4E4"/>
        </x:patternFill>
      </x:fill>
    </x:dxf>
    <x:dxf>
      <x:font>
        <x:color rgb="FF5B6570"/>
      </x:font>
      <x:fill>
        <x:patternFill patternType="solid">
          <x:bgColor rgb="FFEEF1F3"/>
        </x:patternFill>
      </x:fill>
    </x:dxf>
    <x:dxf>
      <x:font>
        <x:i/>
        <x:color rgb="FF5B6570"/>
      </x:font>
      <x:fill>
        <x:patternFill patternType="solid">
          <x:bgColor rgb="FFEEF1F3"/>
        </x:patternFill>
      </x:fill>
    </x:dxf>
    <x:dxf>
      <x:font>
        <x:b/>
        <x:color rgb="FF3A8D5D"/>
      </x:font>
      <x:fill>
        <x:patternFill patternType="solid">
          <x:bgColor rgb="FFE5F4EA"/>
        </x:patternFill>
      </x:fill>
    </x:dxf>
    <x:dxf>
      <x:font>
        <x:b/>
        <x:color rgb="FF8A5A00"/>
      </x:font>
      <x:fill>
        <x:patternFill patternType="solid">
          <x:bgColor rgb="FFFFF3CD"/>
        </x:patternFill>
      </x:fill>
    </x:dxf>
    <x:dxf>
      <x:font>
        <x:b/>
        <x:color rgb="FFA61B1B"/>
      </x:font>
      <x:fill>
        <x:patternFill patternType="solid">
          <x:bgColor rgb="FFFCE4E4"/>
        </x:patternFill>
      </x:fill>
    </x:dxf>
    <x:dxf>
      <x:font>
        <x:color rgb="FF5B6570"/>
      </x:font>
      <x:fill>
        <x:patternFill patternType="solid">
          <x:bgColor rgb="FFEEF1F3"/>
        </x:patternFill>
      </x:fill>
    </x:dxf>
    <x:dxf>
      <x:font>
        <x:i/>
        <x:color rgb="FF5B6570"/>
      </x:font>
      <x:fill>
        <x:patternFill patternType="solid">
          <x:bgColor rgb="FFEEF1F3"/>
        </x:patternFill>
      </x:fill>
    </x:dxf>
    <x:dxf>
      <x:font>
        <x:b/>
        <x:color rgb="FF3A8D5D"/>
      </x:font>
      <x:fill>
        <x:patternFill patternType="solid">
          <x:bgColor rgb="FFE5F4EA"/>
        </x:patternFill>
      </x:fill>
    </x:dxf>
    <x:dxf>
      <x:font>
        <x:b/>
        <x:color rgb="FF8A5A00"/>
      </x:font>
      <x:fill>
        <x:patternFill patternType="solid">
          <x:bgColor rgb="FFFFF3CD"/>
        </x:patternFill>
      </x:fill>
    </x:dxf>
    <x:dxf>
      <x:font>
        <x:b/>
        <x:color rgb="FFA61B1B"/>
      </x:font>
      <x:fill>
        <x:patternFill patternType="solid">
          <x:bgColor rgb="FFFCE4E4"/>
        </x:patternFill>
      </x:fill>
    </x:dxf>
    <x:dxf>
      <x:font>
        <x:color rgb="FF5B6570"/>
      </x:font>
      <x:fill>
        <x:patternFill patternType="solid">
          <x:bgColor rgb="FFEEF1F3"/>
        </x:patternFill>
      </x:fill>
    </x:dxf>
    <x:dxf>
      <x:font>
        <x:i/>
        <x:color rgb="FF5B6570"/>
      </x:font>
      <x:fill>
        <x:patternFill patternType="solid">
          <x:bgColor rgb="FFEEF1F3"/>
        </x:patternFill>
      </x:fill>
    </x:dxf>
    <x:dxf>
      <x:font>
        <x:b/>
        <x:color rgb="FF3A8D5D"/>
      </x:font>
      <x:fill>
        <x:patternFill patternType="solid">
          <x:bgColor rgb="FFE5F4EA"/>
        </x:patternFill>
      </x:fill>
    </x:dxf>
    <x:dxf>
      <x:font>
        <x:b/>
        <x:color rgb="FF8A5A00"/>
      </x:font>
      <x:fill>
        <x:patternFill patternType="solid">
          <x:bgColor rgb="FFFFF3CD"/>
        </x:patternFill>
      </x:fill>
    </x:dxf>
    <x:dxf>
      <x:font>
        <x:b/>
        <x:color rgb="FFA61B1B"/>
      </x:font>
      <x:fill>
        <x:patternFill patternType="solid">
          <x:bgColor rgb="FFFCE4E4"/>
        </x:patternFill>
      </x:fill>
    </x:dxf>
    <x:dxf>
      <x:font>
        <x:color rgb="FF5B6570"/>
      </x:font>
      <x:fill>
        <x:patternFill patternType="solid">
          <x:bgColor rgb="FFEEF1F3"/>
        </x:patternFill>
      </x:fill>
    </x:dxf>
    <x:dxf>
      <x:font>
        <x:i/>
        <x:color rgb="FF5B6570"/>
      </x:font>
      <x:fill>
        <x:patternFill patternType="solid">
          <x:bgColor rgb="FFEEF1F3"/>
        </x:patternFill>
      </x:fill>
    </x:dxf>
    <x:dxf>
      <x:font>
        <x:b/>
        <x:color rgb="FF3A8D5D"/>
      </x:font>
      <x:fill>
        <x:patternFill patternType="solid">
          <x:bgColor rgb="FFE5F4EA"/>
        </x:patternFill>
      </x:fill>
    </x:dxf>
    <x:dxf>
      <x:font>
        <x:b/>
        <x:color rgb="FF8A5A00"/>
      </x:font>
      <x:fill>
        <x:patternFill patternType="solid">
          <x:bgColor rgb="FFFFF3CD"/>
        </x:patternFill>
      </x:fill>
    </x:dxf>
    <x:dxf>
      <x:font>
        <x:b/>
        <x:color rgb="FFA61B1B"/>
      </x:font>
      <x:fill>
        <x:patternFill patternType="solid">
          <x:bgColor rgb="FFFCE4E4"/>
        </x:patternFill>
      </x:fill>
    </x:dxf>
    <x:dxf>
      <x:font>
        <x:color rgb="FF5B6570"/>
      </x:font>
      <x:fill>
        <x:patternFill patternType="solid">
          <x:bgColor rgb="FFEEF1F3"/>
        </x:patternFill>
      </x:fill>
    </x:dxf>
    <x:dxf>
      <x:font>
        <x:i/>
        <x:color rgb="FF5B6570"/>
      </x:font>
      <x:fill>
        <x:patternFill patternType="solid">
          <x:bgColor rgb="FFEEF1F3"/>
        </x:patternFill>
      </x:fill>
    </x:dxf>
    <x:dxf>
      <x:font>
        <x:b/>
        <x:color rgb="FF3A8D5D"/>
      </x:font>
      <x:fill>
        <x:patternFill patternType="solid">
          <x:bgColor rgb="FFE5F4EA"/>
        </x:patternFill>
      </x:fill>
    </x:dxf>
    <x:dxf>
      <x:font>
        <x:b/>
        <x:color rgb="FF8A5A00"/>
      </x:font>
      <x:fill>
        <x:patternFill patternType="solid">
          <x:bgColor rgb="FFFFF3CD"/>
        </x:patternFill>
      </x:fill>
    </x:dxf>
    <x:dxf>
      <x:font>
        <x:b/>
        <x:color rgb="FFA61B1B"/>
      </x:font>
      <x:fill>
        <x:patternFill patternType="solid">
          <x:bgColor rgb="FFFCE4E4"/>
        </x:patternFill>
      </x:fill>
    </x:dxf>
    <x:dxf>
      <x:font>
        <x:color rgb="FF5B6570"/>
      </x:font>
      <x:fill>
        <x:patternFill patternType="solid">
          <x:bgColor rgb="FFEEF1F3"/>
        </x:patternFill>
      </x:fill>
    </x:dxf>
    <x:dxf>
      <x:font>
        <x:i/>
        <x:color rgb="FF5B6570"/>
      </x:font>
      <x:fill>
        <x:patternFill patternType="solid">
          <x:bgColor rgb="FFEEF1F3"/>
        </x:patternFill>
      </x:fill>
    </x:dxf>
    <x:dxf>
      <x:font>
        <x:b/>
        <x:color rgb="FF3A8D5D"/>
      </x:font>
      <x:fill>
        <x:patternFill patternType="solid">
          <x:bgColor rgb="FFE5F4EA"/>
        </x:patternFill>
      </x:fill>
    </x:dxf>
    <x:dxf>
      <x:font>
        <x:b/>
        <x:color rgb="FF8A5A00"/>
      </x:font>
      <x:fill>
        <x:patternFill patternType="solid">
          <x:bgColor rgb="FFFFF3CD"/>
        </x:patternFill>
      </x:fill>
    </x:dxf>
    <x:dxf>
      <x:font>
        <x:b/>
        <x:color rgb="FFA61B1B"/>
      </x:font>
      <x:fill>
        <x:patternFill patternType="solid">
          <x:bgColor rgb="FFFCE4E4"/>
        </x:patternFill>
      </x:fill>
    </x:dxf>
    <x:dxf>
      <x:font>
        <x:color rgb="FF5B6570"/>
      </x:font>
      <x:fill>
        <x:patternFill patternType="solid">
          <x:bgColor rgb="FFEEF1F3"/>
        </x:patternFill>
      </x:fill>
    </x:dxf>
    <x:dxf>
      <x:font>
        <x:i/>
        <x:color rgb="FF5B6570"/>
      </x:font>
      <x:fill>
        <x:patternFill patternType="solid">
          <x:bgColor rgb="FFEEF1F3"/>
        </x:patternFill>
      </x:fill>
    </x:dxf>
    <x:dxf>
      <x:font>
        <x:b/>
        <x:color rgb="FF3A8D5D"/>
      </x:font>
      <x:fill>
        <x:patternFill patternType="solid">
          <x:bgColor rgb="FFE5F4EA"/>
        </x:patternFill>
      </x:fill>
    </x:dxf>
    <x:dxf>
      <x:font>
        <x:b/>
        <x:color rgb="FF8A5A00"/>
      </x:font>
      <x:fill>
        <x:patternFill patternType="solid">
          <x:bgColor rgb="FFFFF3CD"/>
        </x:patternFill>
      </x:fill>
    </x:dxf>
    <x:dxf>
      <x:font>
        <x:b/>
        <x:color rgb="FFA61B1B"/>
      </x:font>
      <x:fill>
        <x:patternFill patternType="solid">
          <x:bgColor rgb="FFFCE4E4"/>
        </x:patternFill>
      </x:fill>
    </x:dxf>
    <x:dxf>
      <x:font>
        <x:color rgb="FF5B6570"/>
      </x:font>
      <x:fill>
        <x:patternFill patternType="solid">
          <x:bgColor rgb="FFEEF1F3"/>
        </x:patternFill>
      </x:fill>
    </x:dxf>
    <x:dxf>
      <x:font>
        <x:i/>
        <x:color rgb="FF5B6570"/>
      </x:font>
      <x:fill>
        <x:patternFill patternType="solid">
          <x:bgColor rgb="FFEEF1F3"/>
        </x:patternFill>
      </x:fill>
    </x:dxf>
    <x:dxf>
      <x:font>
        <x:b/>
        <x:color rgb="FF3A8D5D"/>
      </x:font>
      <x:fill>
        <x:patternFill patternType="solid">
          <x:bgColor rgb="FFE5F4EA"/>
        </x:patternFill>
      </x:fill>
    </x:dxf>
    <x:dxf>
      <x:font>
        <x:b/>
        <x:color rgb="FF8A5A00"/>
      </x:font>
      <x:fill>
        <x:patternFill patternType="solid">
          <x:bgColor rgb="FFFFF3CD"/>
        </x:patternFill>
      </x:fill>
    </x:dxf>
    <x:dxf>
      <x:font>
        <x:b/>
        <x:color rgb="FFA61B1B"/>
      </x:font>
      <x:fill>
        <x:patternFill patternType="solid">
          <x:bgColor rgb="FFFCE4E4"/>
        </x:patternFill>
      </x:fill>
    </x:dxf>
    <x:dxf>
      <x:font>
        <x:color rgb="FF5B6570"/>
      </x:font>
      <x:fill>
        <x:patternFill patternType="solid">
          <x:bgColor rgb="FFEEF1F3"/>
        </x:patternFill>
      </x:fill>
    </x:dxf>
    <x:dxf>
      <x:font>
        <x:i/>
        <x:color rgb="FF5B6570"/>
      </x:font>
      <x:fill>
        <x:patternFill patternType="solid">
          <x:bgColor rgb="FFEEF1F3"/>
        </x:patternFill>
      </x:fill>
    </x:dxf>
    <x:dxf>
      <x:font>
        <x:b/>
        <x:color rgb="FF3A8D5D"/>
      </x:font>
      <x:fill>
        <x:patternFill patternType="solid">
          <x:bgColor rgb="FFE5F4EA"/>
        </x:patternFill>
      </x:fill>
    </x:dxf>
    <x:dxf>
      <x:font>
        <x:b/>
        <x:color rgb="FF8A5A00"/>
      </x:font>
      <x:fill>
        <x:patternFill patternType="solid">
          <x:bgColor rgb="FFFFF3CD"/>
        </x:patternFill>
      </x:fill>
    </x:dxf>
    <x:dxf>
      <x:font>
        <x:b/>
        <x:color rgb="FFA61B1B"/>
      </x:font>
      <x:fill>
        <x:patternFill patternType="solid">
          <x:bgColor rgb="FFFCE4E4"/>
        </x:patternFill>
      </x:fill>
    </x:dxf>
    <x:dxf>
      <x:font>
        <x:color rgb="FF5B6570"/>
      </x:font>
      <x:fill>
        <x:patternFill patternType="solid">
          <x:bgColor rgb="FFEEF1F3"/>
        </x:patternFill>
      </x:fill>
    </x:dxf>
    <x:dxf>
      <x:font>
        <x:i/>
        <x:color rgb="FF5B6570"/>
      </x:font>
      <x:fill>
        <x:patternFill patternType="solid">
          <x:bgColor rgb="FFEEF1F3"/>
        </x:patternFill>
      </x:fill>
    </x:dxf>
    <x:dxf>
      <x:font>
        <x:b/>
        <x:color rgb="FF3A8D5D"/>
      </x:font>
      <x:fill>
        <x:patternFill patternType="solid">
          <x:bgColor rgb="FFE5F4EA"/>
        </x:patternFill>
      </x:fill>
    </x:dxf>
    <x:dxf>
      <x:font>
        <x:b/>
        <x:color rgb="FF8A5A00"/>
      </x:font>
      <x:fill>
        <x:patternFill patternType="solid">
          <x:bgColor rgb="FFFFF3CD"/>
        </x:patternFill>
      </x:fill>
    </x:dxf>
    <x:dxf>
      <x:font>
        <x:b/>
        <x:color rgb="FFA61B1B"/>
      </x:font>
      <x:fill>
        <x:patternFill patternType="solid">
          <x:bgColor rgb="FFFCE4E4"/>
        </x:patternFill>
      </x:fill>
    </x:dxf>
    <x:dxf>
      <x:font>
        <x:color rgb="FF5B6570"/>
      </x:font>
      <x:fill>
        <x:patternFill patternType="solid">
          <x:bgColor rgb="FFEEF1F3"/>
        </x:patternFill>
      </x:fill>
    </x:dxf>
    <x:dxf>
      <x:font>
        <x:i/>
        <x:color rgb="FF5B6570"/>
      </x:font>
      <x:fill>
        <x:patternFill patternType="solid">
          <x:bgColor rgb="FFEEF1F3"/>
        </x:patternFill>
      </x:fill>
    </x:dxf>
    <x:dxf>
      <x:font>
        <x:b/>
        <x:color rgb="FF3A8D5D"/>
      </x:font>
      <x:fill>
        <x:patternFill patternType="solid">
          <x:bgColor rgb="FFE5F4EA"/>
        </x:patternFill>
      </x:fill>
    </x:dxf>
    <x:dxf>
      <x:font>
        <x:b/>
        <x:color rgb="FF8A5A00"/>
      </x:font>
      <x:fill>
        <x:patternFill patternType="solid">
          <x:bgColor rgb="FFFFF3CD"/>
        </x:patternFill>
      </x:fill>
    </x:dxf>
    <x:dxf>
      <x:font>
        <x:b/>
        <x:color rgb="FFA61B1B"/>
      </x:font>
      <x:fill>
        <x:patternFill patternType="solid">
          <x:bgColor rgb="FFFCE4E4"/>
        </x:patternFill>
      </x:fill>
    </x:dxf>
    <x:dxf>
      <x:font>
        <x:color rgb="FF5B6570"/>
      </x:font>
      <x:fill>
        <x:patternFill patternType="solid">
          <x:bgColor rgb="FFEEF1F3"/>
        </x:patternFill>
      </x:fill>
    </x:dxf>
    <x:dxf>
      <x:font>
        <x:i/>
        <x:color rgb="FF5B6570"/>
      </x:font>
      <x:fill>
        <x:patternFill patternType="solid">
          <x:bgColor rgb="FFEEF1F3"/>
        </x:patternFill>
      </x:fill>
    </x:dxf>
    <x:dxf>
      <x:font>
        <x:b/>
        <x:color rgb="FF3A8D5D"/>
      </x:font>
      <x:fill>
        <x:patternFill patternType="solid">
          <x:bgColor rgb="FFE5F4EA"/>
        </x:patternFill>
      </x:fill>
    </x:dxf>
    <x:dxf>
      <x:font>
        <x:b/>
        <x:color rgb="FF8A5A00"/>
      </x:font>
      <x:fill>
        <x:patternFill patternType="solid">
          <x:bgColor rgb="FFFFF3CD"/>
        </x:patternFill>
      </x:fill>
    </x:dxf>
    <x:dxf>
      <x:font>
        <x:b/>
        <x:color rgb="FFA61B1B"/>
      </x:font>
      <x:fill>
        <x:patternFill patternType="solid">
          <x:bgColor rgb="FFFCE4E4"/>
        </x:patternFill>
      </x:fill>
    </x:dxf>
    <x:dxf>
      <x:font>
        <x:color rgb="FF5B6570"/>
      </x:font>
      <x:fill>
        <x:patternFill patternType="solid">
          <x:bgColor rgb="FFEEF1F3"/>
        </x:patternFill>
      </x:fill>
    </x:dxf>
    <x:dxf>
      <x:font>
        <x:i/>
        <x:color rgb="FF5B6570"/>
      </x:font>
      <x:fill>
        <x:patternFill patternType="solid">
          <x:bgColor rgb="FFEEF1F3"/>
        </x:patternFill>
      </x:fill>
    </x:dxf>
    <x:dxf>
      <x:font>
        <x:b/>
        <x:color rgb="FF3A8D5D"/>
      </x:font>
      <x:fill>
        <x:patternFill patternType="solid">
          <x:bgColor rgb="FFE5F4EA"/>
        </x:patternFill>
      </x:fill>
    </x:dxf>
    <x:dxf>
      <x:font>
        <x:b/>
        <x:color rgb="FF8A5A00"/>
      </x:font>
      <x:fill>
        <x:patternFill patternType="solid">
          <x:bgColor rgb="FFFFF3CD"/>
        </x:patternFill>
      </x:fill>
    </x:dxf>
    <x:dxf>
      <x:font>
        <x:b/>
        <x:color rgb="FFA61B1B"/>
      </x:font>
      <x:fill>
        <x:patternFill patternType="solid">
          <x:bgColor rgb="FFFCE4E4"/>
        </x:patternFill>
      </x:fill>
    </x:dxf>
    <x:dxf>
      <x:font>
        <x:color rgb="FF5B6570"/>
      </x:font>
      <x:fill>
        <x:patternFill patternType="solid">
          <x:bgColor rgb="FFEEF1F3"/>
        </x:patternFill>
      </x:fill>
    </x:dxf>
    <x:dxf>
      <x:font>
        <x:i/>
        <x:color rgb="FF5B6570"/>
      </x:font>
      <x:fill>
        <x:patternFill patternType="solid">
          <x:bgColor rgb="FFEEF1F3"/>
        </x:patternFill>
      </x:fill>
    </x:dxf>
    <x:dxf>
      <x:font>
        <x:b/>
        <x:color rgb="FF3A8D5D"/>
      </x:font>
      <x:fill>
        <x:patternFill patternType="solid">
          <x:bgColor rgb="FFE5F4EA"/>
        </x:patternFill>
      </x:fill>
    </x:dxf>
    <x:dxf>
      <x:font>
        <x:b/>
        <x:color rgb="FF8A5A00"/>
      </x:font>
      <x:fill>
        <x:patternFill patternType="solid">
          <x:bgColor rgb="FFFFF3CD"/>
        </x:patternFill>
      </x:fill>
    </x:dxf>
    <x:dxf>
      <x:font>
        <x:b/>
        <x:color rgb="FFA61B1B"/>
      </x:font>
      <x:fill>
        <x:patternFill patternType="solid">
          <x:bgColor rgb="FFFCE4E4"/>
        </x:patternFill>
      </x:fill>
    </x:dxf>
    <x:dxf>
      <x:font>
        <x:color rgb="FF5B6570"/>
      </x:font>
      <x:fill>
        <x:patternFill patternType="solid">
          <x:bgColor rgb="FFEEF1F3"/>
        </x:patternFill>
      </x:fill>
    </x:dxf>
    <x:dxf>
      <x:font>
        <x:i/>
        <x:color rgb="FF5B6570"/>
      </x:font>
      <x:fill>
        <x:patternFill patternType="solid">
          <x:bgColor rgb="FFEEF1F3"/>
        </x:patternFill>
      </x:fill>
    </x:dxf>
    <x:dxf>
      <x:font>
        <x:b/>
        <x:color rgb="FF3A8D5D"/>
      </x:font>
      <x:fill>
        <x:patternFill patternType="solid">
          <x:bgColor rgb="FFE5F4EA"/>
        </x:patternFill>
      </x:fill>
    </x:dxf>
    <x:dxf>
      <x:font>
        <x:b/>
        <x:color rgb="FF8A5A00"/>
      </x:font>
      <x:fill>
        <x:patternFill patternType="solid">
          <x:bgColor rgb="FFFFF3CD"/>
        </x:patternFill>
      </x:fill>
    </x:dxf>
    <x:dxf>
      <x:font>
        <x:b/>
        <x:color rgb="FFA61B1B"/>
      </x:font>
      <x:fill>
        <x:patternFill patternType="solid">
          <x:bgColor rgb="FFFCE4E4"/>
        </x:patternFill>
      </x:fill>
    </x:dxf>
    <x:dxf>
      <x:font>
        <x:color rgb="FF5B6570"/>
      </x:font>
      <x:fill>
        <x:patternFill patternType="solid">
          <x:bgColor rgb="FFEEF1F3"/>
        </x:patternFill>
      </x:fill>
    </x:dxf>
    <x:dxf>
      <x:font>
        <x:i/>
        <x:color rgb="FF5B6570"/>
      </x:font>
      <x:fill>
        <x:patternFill patternType="solid">
          <x:bgColor rgb="FFEEF1F3"/>
        </x:patternFill>
      </x:fill>
    </x:dxf>
    <x:dxf>
      <x:font>
        <x:b/>
        <x:color rgb="FF3A8D5D"/>
      </x:font>
      <x:fill>
        <x:patternFill patternType="solid">
          <x:bgColor rgb="FFE5F4EA"/>
        </x:patternFill>
      </x:fill>
    </x:dxf>
    <x:dxf>
      <x:font>
        <x:b/>
        <x:color rgb="FF8A5A00"/>
      </x:font>
      <x:fill>
        <x:patternFill patternType="solid">
          <x:bgColor rgb="FFFFF3CD"/>
        </x:patternFill>
      </x:fill>
    </x:dxf>
    <x:dxf>
      <x:font>
        <x:b/>
        <x:color rgb="FFA61B1B"/>
      </x:font>
      <x:fill>
        <x:patternFill patternType="solid">
          <x:bgColor rgb="FFFCE4E4"/>
        </x:patternFill>
      </x:fill>
    </x:dxf>
    <x:dxf>
      <x:font>
        <x:color rgb="FF5B6570"/>
      </x:font>
      <x:fill>
        <x:patternFill patternType="solid">
          <x:bgColor rgb="FFEEF1F3"/>
        </x:patternFill>
      </x:fill>
    </x:dxf>
    <x:dxf>
      <x:font>
        <x:i/>
        <x:color rgb="FF5B6570"/>
      </x:font>
      <x:fill>
        <x:patternFill patternType="solid">
          <x:bgColor rgb="FFEEF1F3"/>
        </x:patternFill>
      </x:fill>
    </x:dxf>
    <x:dxf>
      <x:font>
        <x:b/>
        <x:color rgb="FF3A8D5D"/>
      </x:font>
      <x:fill>
        <x:patternFill patternType="solid">
          <x:bgColor rgb="FFE5F4EA"/>
        </x:patternFill>
      </x:fill>
    </x:dxf>
    <x:dxf>
      <x:font>
        <x:b/>
        <x:color rgb="FF8A5A00"/>
      </x:font>
      <x:fill>
        <x:patternFill patternType="solid">
          <x:bgColor rgb="FFFFF3CD"/>
        </x:patternFill>
      </x:fill>
    </x:dxf>
    <x:dxf>
      <x:font>
        <x:b/>
        <x:color rgb="FFA61B1B"/>
      </x:font>
      <x:fill>
        <x:patternFill patternType="solid">
          <x:bgColor rgb="FFFCE4E4"/>
        </x:patternFill>
      </x:fill>
    </x:dxf>
    <x:dxf>
      <x:font>
        <x:color rgb="FF5B6570"/>
      </x:font>
      <x:fill>
        <x:patternFill patternType="solid">
          <x:bgColor rgb="FFEEF1F3"/>
        </x:patternFill>
      </x:fill>
    </x:dxf>
    <x:dxf>
      <x:font>
        <x:i/>
        <x:color rgb="FF5B6570"/>
      </x:font>
      <x:fill>
        <x:patternFill patternType="solid">
          <x:bgColor rgb="FFEEF1F3"/>
        </x:patternFill>
      </x:fill>
    </x:dxf>
    <x:dxf>
      <x:font>
        <x:b/>
        <x:color rgb="FF3A8D5D"/>
      </x:font>
      <x:fill>
        <x:patternFill patternType="solid">
          <x:bgColor rgb="FFE5F4EA"/>
        </x:patternFill>
      </x:fill>
    </x:dxf>
    <x:dxf>
      <x:font>
        <x:b/>
        <x:color rgb="FF8A5A00"/>
      </x:font>
      <x:fill>
        <x:patternFill patternType="solid">
          <x:bgColor rgb="FFFFF3CD"/>
        </x:patternFill>
      </x:fill>
    </x:dxf>
    <x:dxf>
      <x:font>
        <x:b/>
        <x:color rgb="FFA61B1B"/>
      </x:font>
      <x:fill>
        <x:patternFill patternType="solid">
          <x:bgColor rgb="FFFCE4E4"/>
        </x:patternFill>
      </x:fill>
    </x:dxf>
    <x:dxf>
      <x:font>
        <x:color rgb="FF5B6570"/>
      </x:font>
      <x:fill>
        <x:patternFill patternType="solid">
          <x:bgColor rgb="FFEEF1F3"/>
        </x:patternFill>
      </x:fill>
    </x:dxf>
    <x:dxf>
      <x:font>
        <x:i/>
        <x:color rgb="FF5B6570"/>
      </x:font>
      <x:fill>
        <x:patternFill patternType="solid">
          <x:bgColor rgb="FFEEF1F3"/>
        </x:patternFill>
      </x:fill>
    </x:dxf>
    <x:dxf>
      <x:font>
        <x:b/>
        <x:color rgb="FF3A8D5D"/>
      </x:font>
      <x:fill>
        <x:patternFill patternType="solid">
          <x:bgColor rgb="FFE5F4EA"/>
        </x:patternFill>
      </x:fill>
    </x:dxf>
    <x:dxf>
      <x:font>
        <x:b/>
        <x:color rgb="FFA61B1B"/>
      </x:font>
      <x:fill>
        <x:patternFill patternType="solid">
          <x:bgColor rgb="FFFCE4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32dbfb881d4b92" /><Relationship Type="http://schemas.openxmlformats.org/officeDocument/2006/relationships/theme" Target="/xl/theme/theme1.xml" Id="R4734dcc21a804b27" /><Relationship Type="http://schemas.microsoft.com/office/2022/11/relationships/FeaturePropertyBag" Target="/xl/featurePropertyBag/featurePropertyBag.xml" Id="Re2d8c057ca474bb2" /><Relationship Type="http://schemas.openxmlformats.org/officeDocument/2006/relationships/sharedStrings" Target="/xl/sharedStrings.xml" Id="R860ae130a8654dad" /><Relationship Type="http://schemas.openxmlformats.org/officeDocument/2006/relationships/worksheet" Target="/xl/worksheets/sheet1.xml" Id="R3cd80e6dcbd742fe" /><Relationship Type="http://schemas.openxmlformats.org/officeDocument/2006/relationships/worksheet" Target="/xl/worksheets/sheet2.xml" Id="R0b6511873ce141b8" /><Relationship Type="http://schemas.openxmlformats.org/officeDocument/2006/relationships/worksheet" Target="/xl/worksheets/sheet3.xml" Id="R93213d413cf6497f" /><Relationship Type="http://schemas.openxmlformats.org/officeDocument/2006/relationships/worksheet" Target="/xl/worksheets/sheet4.xml" Id="Rc8ff54ddce7e4b54" /><Relationship Type="http://schemas.openxmlformats.org/officeDocument/2006/relationships/worksheet" Target="/xl/worksheets/sheet5.xml" Id="Rb2dc3e023b2e4527" /><Relationship Type="http://schemas.openxmlformats.org/officeDocument/2006/relationships/worksheet" Target="/xl/worksheets/sheet6.xml" Id="R02193b91f3d1491f" /><Relationship Type="http://schemas.openxmlformats.org/officeDocument/2006/relationships/worksheet" Target="/xl/worksheets/sheet7.xml" Id="Rf1535d8f5d4c4311" /><Relationship Type="http://schemas.openxmlformats.org/officeDocument/2006/relationships/worksheet" Target="/xl/worksheets/sheet8.xml" Id="R61e17afd18264aed" /><Relationship Type="http://schemas.openxmlformats.org/officeDocument/2006/relationships/worksheet" Target="/xl/worksheets/sheet9.xml" Id="R21992f10b9474a71" /><Relationship Type="http://schemas.openxmlformats.org/officeDocument/2006/relationships/worksheet" Target="/xl/worksheets/sheet10.xml" Id="R8e5e793fb8e24af6" /><Relationship Type="http://schemas.openxmlformats.org/officeDocument/2006/relationships/worksheet" Target="/xl/worksheets/sheet11.xml" Id="R491cb594cb294aab" /><Relationship Type="http://schemas.openxmlformats.org/officeDocument/2006/relationships/worksheet" Target="/xl/worksheets/sheet12.xml" Id="R01ce9c18619c44eb" /><Relationship Type="http://schemas.openxmlformats.org/officeDocument/2006/relationships/worksheet" Target="/xl/worksheets/sheet13.xml" Id="R0a1a4f5137ee4fea" /><Relationship Type="http://schemas.openxmlformats.org/officeDocument/2006/relationships/worksheet" Target="/xl/worksheets/sheet14.xml" Id="R56f7c7856efd4adb" /><Relationship Type="http://schemas.microsoft.com/office/2017/10/relationships/person" Target="/xl/persons/person.xml" Id="R171f67bd22cb47d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User" id="{C72A056D-ADA9-4617-AB52-95FDF8756BD7}"/>
</xltc:personList>
</file>

<file path=xl/tables/table1.xml><?xml version="1.0" encoding="utf-8"?>
<x:table xmlns:x="http://schemas.openxmlformats.org/spreadsheetml/2006/main" id="1" name="SheetGuideTable" displayName="SheetGuideTable" ref="A4:E17" headerRowCount="1" totalsRowCount="0" totalsRowShown="0">
  <x:autoFilter ref="A4:E17"/>
  <x:tableColumns count="5">
    <x:tableColumn id="1" name="시트"/>
    <x:tableColumn id="2" name="데이터 역할"/>
    <x:tableColumn id="3" name="기준 Markdown"/>
    <x:tableColumn id="4" name="주요 수정 대상"/>
    <x:tableColumn id="5" name="비고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atusGuideTable" displayName="StatusGuideTable" ref="A20:C25" headerRowCount="1" totalsRowCount="0" totalsRowShown="0">
  <x:autoFilter ref="A20:C25"/>
  <x:tableColumns count="3">
    <x:tableColumn id="1" name="상태"/>
    <x:tableColumn id="2" name="의미"/>
    <x:tableColumn id="3" name="사용 기준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GlobalDataTable" displayName="GlobalDataTable" ref="A4:H16" headerRowCount="1" totalsRowCount="0" totalsRowShown="0">
  <x:autoFilter ref="A4:H16"/>
  <x:tableColumns count="8">
    <x:tableColumn id="1" name="ID"/>
    <x:tableColumn id="2" name="범주"/>
    <x:tableColumn id="3" name="데이터 키"/>
    <x:tableColumn id="4" name="값"/>
    <x:tableColumn id="5" name="단위"/>
    <x:tableColumn id="6" name="상태"/>
    <x:tableColumn id="7" name="기준 문서"/>
    <x:tableColumn id="8" name="설명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unnerControlTable" displayName="RunnerControlTable" ref="A4:J14" headerRowCount="1" totalsRowCount="0" totalsRowShown="0">
  <x:autoFilter ref="A4:J14"/>
  <x:tableColumns count="10">
    <x:tableColumn id="1" name="ID"/>
    <x:tableColumn id="2" name="행동"/>
    <x:tableColumn id="3" name="입력"/>
    <x:tableColumn id="4" name="기본값"/>
    <x:tableColumn id="5" name="단위"/>
    <x:tableColumn id="6" name="보조값"/>
    <x:tableColumn id="7" name="보조 단위"/>
    <x:tableColumn id="8" name="상태"/>
    <x:tableColumn id="9" name="기준 문서"/>
    <x:tableColumn id="10" name="메모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unnerStatTable" displayName="RunnerStatTable" ref="A18:J24" headerRowCount="1" totalsRowCount="0" totalsRowShown="0">
  <x:autoFilter ref="A18:J24"/>
  <x:tableColumns count="10">
    <x:tableColumn id="1" name="ID"/>
    <x:tableColumn id="2" name="능력치"/>
    <x:tableColumn id="3" name="기본값"/>
    <x:tableColumn id="4" name="성장 최대"/>
    <x:tableColumn id="5" name="특수값 1"/>
    <x:tableColumn id="6" name="특수값 2"/>
    <x:tableColumn id="7" name="단위"/>
    <x:tableColumn id="8" name="상태"/>
    <x:tableColumn id="9" name="기준 문서"/>
    <x:tableColumn id="10" name="메모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ResourceGenerationTable" displayName="ResourceGenerationTable" ref="A4:K6" headerRowCount="1" totalsRowCount="0" totalsRowShown="0">
  <x:autoFilter ref="A4:K6"/>
  <x:tableColumns count="11">
    <x:tableColumn id="1" name="ID"/>
    <x:tableColumn id="2" name="자원"/>
    <x:tableColumn id="3" name="소형 값"/>
    <x:tableColumn id="4" name="소형 개수"/>
    <x:tableColumn id="5" name="중형 값"/>
    <x:tableColumn id="6" name="중형 개수"/>
    <x:tableColumn id="7" name="대형 값"/>
    <x:tableColumn id="8" name="대형 개수"/>
    <x:tableColumn id="9" name="총 획득량"/>
    <x:tableColumn id="10" name="상태"/>
    <x:tableColumn id="11" name="메모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UpgradeTable" displayName="UpgradeTable" ref="A9:K23" headerRowCount="1" totalsRowCount="0" totalsRowShown="0">
  <x:autoFilter ref="A9:K23"/>
  <x:tableColumns count="11">
    <x:tableColumn id="1" name="ID"/>
    <x:tableColumn id="2" name="대상"/>
    <x:tableColumn id="3" name="업그레이드"/>
    <x:tableColumn id="4" name="회당 증가"/>
    <x:tableColumn id="5" name="단위"/>
    <x:tableColumn id="6" name="기본 비용"/>
    <x:tableColumn id="7" name="단계 증가 비용"/>
    <x:tableColumn id="8" name="재화"/>
    <x:tableColumn id="9" name="최대 회수"/>
    <x:tableColumn id="10" name="상태"/>
    <x:tableColumn id="11" name="메모"/>
  </x:tableColumns>
  <x:tableStyleInfo name="TableStyleMedium4" showFirstColumn="0" showLastColumn="0" showRowStripes="1" showColumnStripes="0"/>
</x:table>
</file>

<file path=xl/tables/table8.xml><?xml version="1.0" encoding="utf-8"?>
<x:table xmlns:x="http://schemas.openxmlformats.org/spreadsheetml/2006/main" id="8" name="TokenShopTable" displayName="TokenShopTable" ref="A27:K32" headerRowCount="1" totalsRowCount="0" totalsRowShown="0">
  <x:autoFilter ref="A27:K32"/>
  <x:tableColumns count="11">
    <x:tableColumn id="1" name="ID"/>
    <x:tableColumn id="2" name="상품"/>
    <x:tableColumn id="3" name="분류"/>
    <x:tableColumn id="4" name="토큰 가격"/>
    <x:tableColumn id="5" name="구매 시작(초)"/>
    <x:tableColumn id="6" name="판당 제한"/>
    <x:tableColumn id="7" name="수치 1"/>
    <x:tableColumn id="8" name="단위"/>
    <x:tableColumn id="9" name="상태"/>
    <x:tableColumn id="10" name="기준 문서"/>
    <x:tableColumn id="11" name="메모"/>
  </x:tableColumns>
  <x:tableStyleInfo name="TableStyleMedium7" showFirstColumn="0" showLastColumn="0" showRowStripes="1" showColumnStripes="0"/>
</x:table>
</file>

<file path=xl/tables/table9.xml><?xml version="1.0" encoding="utf-8"?>
<x:table xmlns:x="http://schemas.openxmlformats.org/spreadsheetml/2006/main" id="9" name="TowerDataTable" displayName="TowerDataTable" ref="A4:O18" headerRowCount="1" totalsRowCount="0" totalsRowShown="0">
  <x:autoFilter ref="A4:O18"/>
  <x:tableColumns count="15">
    <x:tableColumn id="1" name="ID"/>
    <x:tableColumn id="2" name="분류"/>
    <x:tableColumn id="3" name="타워"/>
    <x:tableColumn id="4" name="광물"/>
    <x:tableColumn id="5" name="가스"/>
    <x:tableColumn id="6" name="최대 수"/>
    <x:tableColumn id="7" name="공격 간격"/>
    <x:tableColumn id="8" name="투사체 속도"/>
    <x:tableColumn id="9" name="판정"/>
    <x:tableColumn id="10" name="사거리 순위"/>
    <x:tableColumn id="11" name="범위"/>
    <x:tableColumn id="12" name="재사용 1"/>
    <x:tableColumn id="13" name="재사용 2"/>
    <x:tableColumn id="14" name="재사용 3"/>
    <x:tableColumn id="15" name="상태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owerEffectValueTable" displayName="TowerEffectValueTable" ref="A22:J31" headerRowCount="1" totalsRowCount="0" totalsRowShown="0">
  <x:autoFilter ref="A22:J31"/>
  <x:tableColumns count="10">
    <x:tableColumn id="1" name="ID"/>
    <x:tableColumn id="2" name="타워"/>
    <x:tableColumn id="3" name="효과"/>
    <x:tableColumn id="4" name="값"/>
    <x:tableColumn id="5" name="단위"/>
    <x:tableColumn id="6" name="보조값"/>
    <x:tableColumn id="7" name="보조 단위"/>
    <x:tableColumn id="8" name="상태"/>
    <x:tableColumn id="9" name="기준 문서"/>
    <x:tableColumn id="10" name="메모"/>
  </x:tableColumns>
  <x:tableStyleInfo name="TableStyleMedium4" showFirstColumn="0" showLastColumn="0" showRowStripes="1" showColumnStripes="0"/>
</x:table>
</file>

<file path=xl/tables/table11.xml><?xml version="1.0" encoding="utf-8"?>
<x:table xmlns:x="http://schemas.openxmlformats.org/spreadsheetml/2006/main" id="11" name="AttributeProbabilityTable" displayName="AttributeProbabilityTable" ref="A4:J7" headerRowCount="1" totalsRowCount="0" totalsRowShown="0">
  <x:autoFilter ref="A4:J7"/>
  <x:tableColumns count="10">
    <x:tableColumn id="1" name="ID"/>
    <x:tableColumn id="2" name="대상"/>
    <x:tableColumn id="3" name="조건"/>
    <x:tableColumn id="4" name="화염"/>
    <x:tableColumn id="5" name="전격"/>
    <x:tableColumn id="6" name="생화학"/>
    <x:tableColumn id="7" name="빙결"/>
    <x:tableColumn id="8" name="합계"/>
    <x:tableColumn id="9" name="상태"/>
    <x:tableColumn id="10" name="메모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AttributeRuleTable" displayName="AttributeRuleTable" ref="A11:H16" headerRowCount="1" totalsRowCount="0" totalsRowShown="0">
  <x:autoFilter ref="A11:H16"/>
  <x:tableColumns count="8">
    <x:tableColumn id="1" name="ID"/>
    <x:tableColumn id="2" name="규칙"/>
    <x:tableColumn id="3" name="값"/>
    <x:tableColumn id="4" name="단위"/>
    <x:tableColumn id="5" name="적용 대상"/>
    <x:tableColumn id="6" name="상태"/>
    <x:tableColumn id="7" name="기준 문서"/>
    <x:tableColumn id="8" name="메모"/>
  </x:tableColumns>
  <x:tableStyleInfo name="TableStyleMedium4" showFirstColumn="0" showLastColumn="0" showRowStripes="1" showColumnStripes="0"/>
</x:table>
</file>

<file path=xl/tables/table13.xml><?xml version="1.0" encoding="utf-8"?>
<x:table xmlns:x="http://schemas.openxmlformats.org/spreadsheetml/2006/main" id="13" name="ItemDataTable" displayName="ItemDataTable" ref="A4:M9" headerRowCount="1" totalsRowCount="0" totalsRowShown="0">
  <x:autoFilter ref="A4:M9"/>
  <x:tableColumns count="13">
    <x:tableColumn id="1" name="ID"/>
    <x:tableColumn id="2" name="아이템"/>
    <x:tableColumn id="3" name="광물"/>
    <x:tableColumn id="4" name="가스"/>
    <x:tableColumn id="5" name="지속시간"/>
    <x:tableColumn id="6" name="최대 소지"/>
    <x:tableColumn id="7" name="해금 조건"/>
    <x:tableColumn id="8" name="범위"/>
    <x:tableColumn id="9" name="피해 수치"/>
    <x:tableColumn id="10" name="효과 주기"/>
    <x:tableColumn id="11" name="주파력 상한 제거"/>
    <x:tableColumn id="12" name="상태"/>
    <x:tableColumn id="13" name="메모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SkillDataTable" displayName="SkillDataTable" ref="A4:J7" headerRowCount="1" totalsRowCount="0" totalsRowShown="0">
  <x:autoFilter ref="A4:J7"/>
  <x:tableColumns count="10">
    <x:tableColumn id="1" name="ID"/>
    <x:tableColumn id="2" name="스킬"/>
    <x:tableColumn id="3" name="기력 비용"/>
    <x:tableColumn id="4" name="지속시간"/>
    <x:tableColumn id="5" name="재사용"/>
    <x:tableColumn id="6" name="무적"/>
    <x:tableColumn id="7" name="사선 무적"/>
    <x:tableColumn id="8" name="공격·장전 증가"/>
    <x:tableColumn id="9" name="상태"/>
    <x:tableColumn id="10" name="메모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WeaponDataTable" displayName="WeaponDataTable" ref="A4:N9" headerRowCount="1" totalsRowCount="0" totalsRowShown="0">
  <x:autoFilter ref="A4:N9"/>
  <x:tableColumns count="14">
    <x:tableColumn id="1" name="ID"/>
    <x:tableColumn id="2" name="무기"/>
    <x:tableColumn id="3" name="광물"/>
    <x:tableColumn id="4" name="가스"/>
    <x:tableColumn id="5" name="기본 피해"/>
    <x:tableColumn id="6" name="발사 간격"/>
    <x:tableColumn id="7" name="탄창"/>
    <x:tableColumn id="8" name="장전시간"/>
    <x:tableColumn id="9" name="사거리"/>
    <x:tableColumn id="10" name="탄속"/>
    <x:tableColumn id="11" name="특수 기능 수치"/>
    <x:tableColumn id="12" name="최대 소지"/>
    <x:tableColumn id="13" name="상태"/>
    <x:tableColumn id="14" name="기준 문서"/>
  </x:tableColumns>
  <x:tableStyleInfo name="TableStyleMedium4" showFirstColumn="0" showLastColumn="0" showRowStripes="1" showColumnStripes="0"/>
</x:table>
</file>

<file path=xl/tables/table16.xml><?xml version="1.0" encoding="utf-8"?>
<x:table xmlns:x="http://schemas.openxmlformats.org/spreadsheetml/2006/main" id="16" name="MonsterDataTable" displayName="MonsterDataTable" ref="A4:O12" headerRowCount="1" totalsRowCount="0" totalsRowShown="0">
  <x:autoFilter ref="A4:O12"/>
  <x:tableColumns count="15">
    <x:tableColumn id="1" name="ID"/>
    <x:tableColumn id="2" name="구역"/>
    <x:tableColumn id="3" name="몬스터"/>
    <x:tableColumn id="4" name="등급"/>
    <x:tableColumn id="5" name="체력"/>
    <x:tableColumn id="6" name="접촉 피해"/>
    <x:tableColumn id="7" name="이동속도 배수"/>
    <x:tableColumn id="8" name="투사체 피해"/>
    <x:tableColumn id="9" name="투사체 속도"/>
    <x:tableColumn id="10" name="발사 간격"/>
    <x:tableColumn id="11" name="실패 피해"/>
    <x:tableColumn id="12" name="실패 피해 단위"/>
    <x:tableColumn id="13" name="토큰 확률"/>
    <x:tableColumn id="14" name="상태"/>
    <x:tableColumn id="15" name="메모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WaveSpawnTable" displayName="WaveSpawnTable" ref="A4:J64" headerRowCount="1" totalsRowCount="0" totalsRowShown="0">
  <x:autoFilter ref="A4:J64"/>
  <x:tableColumns count="10">
    <x:tableColumn id="1" name="이벤트 ID"/>
    <x:tableColumn id="2" name="웨이브"/>
    <x:tableColumn id="3" name="웨이브 시작"/>
    <x:tableColumn id="4" name="내부 시각"/>
    <x:tableColumn id="5" name="절대 시각"/>
    <x:tableColumn id="6" name="등급"/>
    <x:tableColumn id="7" name="수량"/>
    <x:tableColumn id="8" name="상태"/>
    <x:tableColumn id="9" name="메모"/>
    <x:tableColumn id="10" name="기준 문서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WaveMilestoneTable" displayName="WaveMilestoneTable" ref="A67:G73" headerRowCount="1" totalsRowCount="0" totalsRowShown="0">
  <x:autoFilter ref="A67:G73"/>
  <x:tableColumns count="7">
    <x:tableColumn id="1" name="ID"/>
    <x:tableColumn id="2" name="절대 시각"/>
    <x:tableColumn id="3" name="분류"/>
    <x:tableColumn id="4" name="단계"/>
    <x:tableColumn id="5" name="변화"/>
    <x:tableColumn id="6" name="상태"/>
    <x:tableColumn id="7" name="기준 문서"/>
  </x:tableColumns>
  <x:tableStyleInfo name="TableStyleMedium7" showFirstColumn="0" showLastColumn="0" showRowStripes="1" showColumnStripes="0"/>
</x:table>
</file>

<file path=xl/tables/table19.xml><?xml version="1.0" encoding="utf-8"?>
<x:table xmlns:x="http://schemas.openxmlformats.org/spreadsheetml/2006/main" id="19" name="MapStagePlacementTable" displayName="MapStagePlacementTable" ref="A4:L7" headerRowCount="1" totalsRowCount="0" totalsRowShown="0">
  <x:autoFilter ref="A4:L7"/>
  <x:tableColumns count="12">
    <x:tableColumn id="1" name="ID"/>
    <x:tableColumn id="2" name="스테이지"/>
    <x:tableColumn id="3" name="테마"/>
    <x:tableColumn id="4" name="자연 지형"/>
    <x:tableColumn id="5" name="벌레지옥"/>
    <x:tableColumn id="6" name="관문 후보"/>
    <x:tableColumn id="7" name="성소 최소"/>
    <x:tableColumn id="8" name="성소 최대"/>
    <x:tableColumn id="9" name="섹터 형태"/>
    <x:tableColumn id="10" name="섹터 수"/>
    <x:tableColumn id="11" name="상태"/>
    <x:tableColumn id="12" name="메모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MapPlacementRuleTable" displayName="MapPlacementRuleTable" ref="A11:H16" headerRowCount="1" totalsRowCount="0" totalsRowShown="0">
  <x:autoFilter ref="A11:H16"/>
  <x:tableColumns count="8">
    <x:tableColumn id="1" name="ID"/>
    <x:tableColumn id="2" name="대상"/>
    <x:tableColumn id="3" name="기준 대상"/>
    <x:tableColumn id="4" name="최소 거리"/>
    <x:tableColumn id="5" name="단위"/>
    <x:tableColumn id="6" name="상태"/>
    <x:tableColumn id="7" name="기준 문서"/>
    <x:tableColumn id="8" name="메모"/>
  </x:tableColumns>
  <x:tableStyleInfo name="TableStyleMedium4" showFirstColumn="0" showLastColumn="0" showRowStripes="1" showColumnStripes="0"/>
</x:table>
</file>

<file path=xl/tables/table21.xml><?xml version="1.0" encoding="utf-8"?>
<x:table xmlns:x="http://schemas.openxmlformats.org/spreadsheetml/2006/main" id="21" name="SanctuaryDataTable" displayName="SanctuaryDataTable" ref="A20:I24" headerRowCount="1" totalsRowCount="0" totalsRowShown="0">
  <x:autoFilter ref="A20:I24"/>
  <x:tableColumns count="9">
    <x:tableColumn id="1" name="ID"/>
    <x:tableColumn id="2" name="성소"/>
    <x:tableColumn id="3" name="즉시 수치"/>
    <x:tableColumn id="4" name="단위"/>
    <x:tableColumn id="5" name="지속시간"/>
    <x:tableColumn id="6" name="최대 이용"/>
    <x:tableColumn id="7" name="상태"/>
    <x:tableColumn id="8" name="기준 문서"/>
    <x:tableColumn id="9" name="메모"/>
  </x:tableColumns>
  <x:tableStyleInfo name="TableStyleMedium7" showFirstColumn="0" showLastColumn="0" showRowStripes="1" showColumnStripes="0"/>
</x:table>
</file>

<file path=xl/tables/table22.xml><?xml version="1.0" encoding="utf-8"?>
<x:table xmlns:x="http://schemas.openxmlformats.org/spreadsheetml/2006/main" id="22" name="ArtifactDataTable" displayName="ArtifactDataTable" ref="A4:L14" headerRowCount="1" totalsRowCount="0" totalsRowShown="0">
  <x:autoFilter ref="A4:L14"/>
  <x:tableColumns count="12">
    <x:tableColumn id="1" name="ID"/>
    <x:tableColumn id="2" name="유물"/>
    <x:tableColumn id="3" name="수치 1"/>
    <x:tableColumn id="4" name="단위 1"/>
    <x:tableColumn id="5" name="수치 2"/>
    <x:tableColumn id="6" name="단위 2"/>
    <x:tableColumn id="7" name="범위"/>
    <x:tableColumn id="8" name="중복"/>
    <x:tableColumn id="9" name="토큰 제한"/>
    <x:tableColumn id="10" name="상태"/>
    <x:tableColumn id="11" name="기준 문서"/>
    <x:tableColumn id="12" name="메모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ValidationTable" displayName="ValidationTable" ref="A4:F10" headerRowCount="1" totalsRowCount="0" totalsRowShown="0">
  <x:autoFilter ref="A4:F10"/>
  <x:tableColumns count="6">
    <x:tableColumn id="1" name="검사 ID"/>
    <x:tableColumn id="2" name="검사 항목"/>
    <x:tableColumn id="3" name="현재값"/>
    <x:tableColumn id="4" name="목표/기준"/>
    <x:tableColumn id="5" name="결과"/>
    <x:tableColumn id="6" name="설명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D5" dT="2026-07-24T13:29:25.88" personId="{C72A056D-ADA9-4617-AB52-95FDF8756BD7}" id="{C1E9FE34-48C8-6CA0-CF6F-D32EA3C54EE4}">
    <xltc:text>최초 플레이 테스트용 임시 생성량입니다. 총량과 실제 소비 속도를 비교해 조정합니다.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8e869735c4a4e84" /><Relationship Type="http://schemas.openxmlformats.org/officeDocument/2006/relationships/table" Target="/xl/tables/table2.xml" Id="R07a15bb35b3748d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0f43b713449f48b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cd0d9e1a077c42a8" /><Relationship Type="http://schemas.openxmlformats.org/officeDocument/2006/relationships/table" Target="/xl/tables/table5.xml" Id="R722b76a04e8b444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1.xml" Id="R8e77d2cc5a1d4a3e" /><Relationship Type="http://schemas.openxmlformats.org/officeDocument/2006/relationships/vmlDrawing" Target="/xl/drawings/vmldrawing.vml" Id="Rc0e76598ce784031" /><Relationship Type="http://schemas.microsoft.com/office/2017/10/relationships/threadedComment" Target="/xl/threadedcomments/threadedcomment.xml" Id="Rfa61365805834465" /><Relationship Type="http://schemas.openxmlformats.org/officeDocument/2006/relationships/table" Target="/xl/tables/table6.xml" Id="Rfd102a1a04104f7b" /><Relationship Type="http://schemas.openxmlformats.org/officeDocument/2006/relationships/table" Target="/xl/tables/table7.xml" Id="R6134b4e3d9ad465b" /><Relationship Type="http://schemas.openxmlformats.org/officeDocument/2006/relationships/table" Target="/xl/tables/table8.xml" Id="Reaf6bae0a20b41c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9.xml" Id="R6beeacfc912d4707" /><Relationship Type="http://schemas.openxmlformats.org/officeDocument/2006/relationships/table" Target="/xl/tables/table10.xml" Id="Rc96481a56b6742b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1.xml" Id="Re6dd34c426c54705" /><Relationship Type="http://schemas.openxmlformats.org/officeDocument/2006/relationships/table" Target="/xl/tables/table12.xml" Id="R7087d3b3fb5b497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3.xml" Id="R6195a21eb36a4b9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4.xml" Id="Ra757dcae7fa3451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5.xml" Id="R10b173afc44f4da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6.xml" Id="R1b61ea085abd451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7.xml" Id="Rca36046a4b2b4285" /><Relationship Type="http://schemas.openxmlformats.org/officeDocument/2006/relationships/table" Target="/xl/tables/table18.xml" Id="R130fa48518a64b3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9.xml" Id="R0b0941ceb01d4bd4" /><Relationship Type="http://schemas.openxmlformats.org/officeDocument/2006/relationships/table" Target="/xl/tables/table20.xml" Id="R1e31d681729c4667" /><Relationship Type="http://schemas.openxmlformats.org/officeDocument/2006/relationships/table" Target="/xl/tables/table21.xml" Id="Re8a7ec9ec334460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22.xml" Id="R54350d0ffdef4096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23.xml" Id="Rb3240b45125e441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0" hidden="0" customWidth="1"/>
    <x:col min="3" max="3" width="36" hidden="0" customWidth="1"/>
    <x:col min="4" max="4" width="28" hidden="0" customWidth="1"/>
    <x:col min="5" max="5" width="22" hidden="0" customWidth="1"/>
    <x:col min="6" max="6" width="4" hidden="0" customWidth="1"/>
    <x:col min="7" max="7" width="4" hidden="0" customWidth="1"/>
  </x:cols>
  <x:sheetData>
    <x:row r="1" ht="19.200000762939453" hidden="0" customHeight="1">
      <x:c r="A1" s="3" t="str">
        <x:v>땅타 프로젝트 데이터 테이블 0.50v</x:v>
      </x:c>
      <x:c r="B1" s="3"/>
      <x:c r="C1" s="3"/>
      <x:c r="D1" s="3"/>
      <x:c r="E1" s="3"/>
      <x:c r="F1" s="3"/>
      <x:c r="G1" s="3"/>
    </x:row>
    <x:row r="2" ht="15" hidden="0" customHeight="1">
      <x:c r="A2" s="7" t="str">
        <x:v>기능 설명과 예외는 Markdown 기획서를 기준으로 하고, 이 파일은 수치·비용·확률·시간표·생성량을 빠르게 수정하는 데이터 원본으로 사용합니다.</x:v>
      </x:c>
      <x:c r="B2" s="7"/>
      <x:c r="C2" s="7"/>
      <x:c r="D2" s="7"/>
      <x:c r="E2" s="7"/>
      <x:c r="F2" s="7"/>
      <x:c r="G2" s="7"/>
    </x:row>
    <x:row r="3"/>
    <x:row r="4" ht="15" hidden="0" customHeight="1">
      <x:c r="A4" s="14" t="str">
        <x:v>시트</x:v>
      </x:c>
      <x:c r="B4" s="14" t="str">
        <x:v>데이터 역할</x:v>
      </x:c>
      <x:c r="C4" s="14" t="str">
        <x:v>기준 Markdown</x:v>
      </x:c>
      <x:c r="D4" s="14" t="str">
        <x:v>주요 수정 대상</x:v>
      </x:c>
      <x:c r="E4" s="14" t="str">
        <x:v>비고</x:v>
      </x:c>
    </x:row>
    <x:row r="5" ht="15" hidden="0" customHeight="1">
      <x:c r="A5" s="12" t="str">
        <x:v>Global</x:v>
      </x:c>
      <x:c r="B5" s="12" t="str">
        <x:v>판 전체 공통값</x:v>
      </x:c>
      <x:c r="C5" s="12" t="str">
        <x:v>00 핵심 기획 / 01 게임 진행 및 승패</x:v>
      </x:c>
      <x:c r="D5" s="12" t="str">
        <x:v>시간, 인원, 할당량, 제한</x:v>
      </x:c>
      <x:c r="E5" s="12" t="str"/>
    </x:row>
    <x:row r="6" ht="15" hidden="0" customHeight="1">
      <x:c r="A6" s="12" t="str">
        <x:v>Runner</x:v>
      </x:c>
      <x:c r="B6" s="12" t="str">
        <x:v>러너 조작·능력치</x:v>
      </x:c>
      <x:c r="C6" s="12" t="str">
        <x:v>02 플레이어 러너 상세 기획</x:v>
      </x:c>
      <x:c r="D6" s="12" t="str">
        <x:v>이동, 기력, 주파력, 상한</x:v>
      </x:c>
      <x:c r="E6" s="12" t="str"/>
    </x:row>
    <x:row r="7" ht="15" hidden="0" customHeight="1">
      <x:c r="A7" s="12" t="str">
        <x:v>Economy</x:v>
      </x:c>
      <x:c r="B7" s="12" t="str">
        <x:v>자원·업그레이드·토큰 상점</x:v>
      </x:c>
      <x:c r="C7" s="12" t="str">
        <x:v>09 연구소 경제 업그레이드</x:v>
      </x:c>
      <x:c r="D7" s="12" t="str">
        <x:v>가격, 증가량, 생성량</x:v>
      </x:c>
      <x:c r="E7" s="12" t="str"/>
    </x:row>
    <x:row r="8" ht="15" hidden="0" customHeight="1">
      <x:c r="A8" s="12" t="str">
        <x:v>Tower</x:v>
      </x:c>
      <x:c r="B8" s="12" t="str">
        <x:v>센터·공격·지원 타워</x:v>
      </x:c>
      <x:c r="C8" s="12" t="str">
        <x:v>08 타워 상세 기획</x:v>
      </x:c>
      <x:c r="D8" s="12" t="str">
        <x:v>비용, 횟수, 제한, 재사용</x:v>
      </x:c>
      <x:c r="E8" s="12" t="str"/>
    </x:row>
    <x:row r="9" ht="15" hidden="0" customHeight="1">
      <x:c r="A9" s="12" t="str">
        <x:v>Attribute</x:v>
      </x:c>
      <x:c r="B9" s="12" t="str">
        <x:v>속성 확률·보너스</x:v>
      </x:c>
      <x:c r="C9" s="12" t="str">
        <x:v>08 타워 상세 기획</x:v>
      </x:c>
      <x:c r="D9" s="12" t="str">
        <x:v>등장 확률, 속성 효과</x:v>
      </x:c>
      <x:c r="E9" s="12" t="str"/>
    </x:row>
    <x:row r="10" ht="15" hidden="0" customHeight="1">
      <x:c r="A10" s="12" t="str">
        <x:v>Item</x:v>
      </x:c>
      <x:c r="B10" s="12" t="str">
        <x:v>소모품 데이터</x:v>
      </x:c>
      <x:c r="C10" s="12" t="str">
        <x:v>10 아이템 기획</x:v>
      </x:c>
      <x:c r="D10" s="12" t="str">
        <x:v>비용, 지속, 최대 소지</x:v>
      </x:c>
      <x:c r="E10" s="12" t="str"/>
    </x:row>
    <x:row r="11" ht="15" hidden="0" customHeight="1">
      <x:c r="A11" s="12" t="str">
        <x:v>Skill</x:v>
      </x:c>
      <x:c r="B11" s="12" t="str">
        <x:v>스킬 데이터</x:v>
      </x:c>
      <x:c r="C11" s="12" t="str">
        <x:v>11 스킬 기획</x:v>
      </x:c>
      <x:c r="D11" s="12" t="str">
        <x:v>비용, 지속, 재사용</x:v>
      </x:c>
      <x:c r="E11" s="12" t="str"/>
    </x:row>
    <x:row r="12" ht="15" hidden="0" customHeight="1">
      <x:c r="A12" s="12" t="str">
        <x:v>Weapon</x:v>
      </x:c>
      <x:c r="B12" s="12" t="str">
        <x:v>무기 밸런스</x:v>
      </x:c>
      <x:c r="C12" s="12" t="str">
        <x:v>12 무기 기획</x:v>
      </x:c>
      <x:c r="D12" s="12" t="str">
        <x:v>피해량, 발사, 탄창, 가격</x:v>
      </x:c>
      <x:c r="E12" s="12" t="str">
        <x:v>현재 추후 입력</x:v>
      </x:c>
    </x:row>
    <x:row r="13" ht="15" hidden="0" customHeight="1">
      <x:c r="A13" s="12" t="str">
        <x:v>Monster</x:v>
      </x:c>
      <x:c r="B13" s="12" t="str">
        <x:v>몬스터 수치</x:v>
      </x:c>
      <x:c r="C13" s="12" t="str">
        <x:v>07 몬스터 기획</x:v>
      </x:c>
      <x:c r="D13" s="12" t="str">
        <x:v>체력, 피해, 이동, 보상</x:v>
      </x:c>
      <x:c r="E13" s="12" t="str"/>
    </x:row>
    <x:row r="14" ht="15" hidden="0" customHeight="1">
      <x:c r="A14" s="12" t="str">
        <x:v>Wave</x:v>
      </x:c>
      <x:c r="B14" s="12" t="str">
        <x:v>등장 시간표</x:v>
      </x:c>
      <x:c r="C14" s="12" t="str">
        <x:v>06 스테이지 및 웨이브</x:v>
      </x:c>
      <x:c r="D14" s="12" t="str">
        <x:v>웨이브별 시각과 수량</x:v>
      </x:c>
      <x:c r="E14" s="12" t="str"/>
    </x:row>
    <x:row r="15" ht="15" hidden="0" customHeight="1">
      <x:c r="A15" s="12" t="str">
        <x:v>Map</x:v>
      </x:c>
      <x:c r="B15" s="12" t="str">
        <x:v>맵·성소·배치</x:v>
      </x:c>
      <x:c r="C15" s="12" t="str">
        <x:v>05 맵 및 레벨 디자인</x:v>
      </x:c>
      <x:c r="D15" s="12" t="str">
        <x:v>생성 수, 거리, 효과</x:v>
      </x:c>
      <x:c r="E15" s="12" t="str"/>
    </x:row>
    <x:row r="16" ht="15" hidden="0" customHeight="1">
      <x:c r="A16" s="12" t="str">
        <x:v>Artifact</x:v>
      </x:c>
      <x:c r="B16" s="12" t="str">
        <x:v>유물 목록·강화 수치</x:v>
      </x:c>
      <x:c r="C16" s="12" t="str">
        <x:v>13 유물 기획</x:v>
      </x:c>
      <x:c r="D16" s="12" t="str">
        <x:v>효과, 범위, 배수</x:v>
      </x:c>
      <x:c r="E16" s="12" t="str"/>
    </x:row>
    <x:row r="17" ht="15" hidden="0" customHeight="1">
      <x:c r="A17" s="12" t="str">
        <x:v>Validation</x:v>
      </x:c>
      <x:c r="B17" s="12" t="str">
        <x:v>수식 점검</x:v>
      </x:c>
      <x:c r="C17" s="12" t="str">
        <x:v>20 엑셀 데이터 운영 기준</x:v>
      </x:c>
      <x:c r="D17" s="12" t="str">
        <x:v>자원 총량, 상태, 오류</x:v>
      </x:c>
      <x:c r="E17" s="12" t="str">
        <x:v>직접 입력 금지</x:v>
      </x:c>
    </x:row>
    <x:row r="18"/>
    <x:row r="19"/>
    <x:row r="20" ht="15" hidden="0" customHeight="1">
      <x:c r="A20" s="14" t="str">
        <x:v>상태</x:v>
      </x:c>
      <x:c r="B20" s="14" t="str">
        <x:v>의미</x:v>
      </x:c>
      <x:c r="C20" s="14" t="str">
        <x:v>사용 기준</x:v>
      </x:c>
    </x:row>
    <x:row r="21" ht="15" hidden="0" customHeight="1">
      <x:c r="A21" s="12" t="str">
        <x:v>확정</x:v>
      </x:c>
      <x:c r="B21" s="12" t="str">
        <x:v>현재 구현 기준</x:v>
      </x:c>
      <x:c r="C21" s="12" t="str">
        <x:v>개발 데이터로 사용</x:v>
      </x:c>
    </x:row>
    <x:row r="22" ht="15" hidden="0" customHeight="1">
      <x:c r="A22" s="12" t="str">
        <x:v>임시</x:v>
      </x:c>
      <x:c r="B22" s="12" t="str">
        <x:v>최초 테스트값</x:v>
      </x:c>
      <x:c r="C22" s="12" t="str">
        <x:v>밸런스 결과에 따라 수정</x:v>
      </x:c>
    </x:row>
    <x:row r="23" ht="15" hidden="0" customHeight="1">
      <x:c r="A23" s="12" t="str">
        <x:v>질문 필요</x:v>
      </x:c>
      <x:c r="B23" s="12" t="str">
        <x:v>규칙 또는 계산 충돌</x:v>
      </x:c>
      <x:c r="C23" s="12" t="str">
        <x:v>질문지 답변 전 임의 확정 금지</x:v>
      </x:c>
    </x:row>
    <x:row r="24" ht="15" hidden="0" customHeight="1">
      <x:c r="A24" s="12" t="str">
        <x:v>추후 입력</x:v>
      </x:c>
      <x:c r="B24" s="12" t="str">
        <x:v>기능 방향만 존재</x:v>
      </x:c>
      <x:c r="C24" s="12" t="str">
        <x:v>상세 데이터 작성 시 입력</x:v>
      </x:c>
    </x:row>
    <x:row r="25" ht="15" hidden="0" customHeight="1">
      <x:c r="A25" s="12" t="str">
        <x:v>보류</x:v>
      </x:c>
      <x:c r="B25" s="12" t="str">
        <x:v>현재 미사용</x:v>
      </x:c>
      <x:c r="C25" s="12" t="str">
        <x:v>목록은 유지하되 게임에서 사용하지 않음</x:v>
      </x:c>
    </x:row>
  </x:sheetData>
  <x:mergeCells>
    <x:mergeCell ref="A1:G1"/>
    <x:mergeCell ref="A2:G2"/>
  </x:mergeCells>
  <x:pageMargins left="0.7" right="0.7" top="0.75" bottom="0.75" header="0.3" footer="0.3"/>
  <x:tableParts count="2">
    <x:tablePart xmlns:r="http://schemas.openxmlformats.org/officeDocument/2006/relationships" r:id="Rc8e869735c4a4e84"/>
    <x:tablePart xmlns:r="http://schemas.openxmlformats.org/officeDocument/2006/relationships" r:id="R07a15bb35b3748d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4" hidden="0" customWidth="1"/>
    <x:col min="4" max="4" width="12" hidden="0" customWidth="1"/>
    <x:col min="5" max="5" width="12" hidden="0" customWidth="1"/>
    <x:col min="6" max="6" width="14" hidden="0" customWidth="1"/>
    <x:col min="7" max="7" width="16" hidden="0" customWidth="1"/>
    <x:col min="8" max="8" width="38" hidden="0" customWidth="1"/>
  </x:cols>
  <x:sheetData>
    <x:row r="1" ht="19.200000762939453" hidden="0" customHeight="1">
      <x:c r="A1" s="3" t="str">
        <x:v>Global — 공통 게임 데이터</x:v>
      </x:c>
      <x:c r="B1" s="3"/>
      <x:c r="C1" s="3"/>
      <x:c r="D1" s="3"/>
      <x:c r="E1" s="3"/>
      <x:c r="F1" s="3"/>
      <x:c r="G1" s="3"/>
      <x:c r="H1" s="3"/>
    </x:row>
    <x:row r="2" ht="15" hidden="0" customHeight="1">
      <x:c r="A2" s="7" t="str">
        <x:v>여러 기능에서 함께 사용하는 판 전체의 단일 기준값입니다. 같은 값을 다른 시트에 중복 입력하지 않습니다.</x:v>
      </x:c>
      <x:c r="B2" s="7"/>
      <x:c r="C2" s="7"/>
      <x:c r="D2" s="7"/>
      <x:c r="E2" s="7"/>
      <x:c r="F2" s="7"/>
      <x:c r="G2" s="7"/>
      <x:c r="H2" s="7"/>
    </x:row>
    <x:row r="3"/>
    <x:row r="4" ht="15" hidden="0" customHeight="1">
      <x:c r="A4" s="14" t="str">
        <x:v>ID</x:v>
      </x:c>
      <x:c r="B4" s="14" t="str">
        <x:v>범주</x:v>
      </x:c>
      <x:c r="C4" s="14" t="str">
        <x:v>데이터 키</x:v>
      </x:c>
      <x:c r="D4" s="14" t="str">
        <x:v>값</x:v>
      </x:c>
      <x:c r="E4" s="14" t="str">
        <x:v>단위</x:v>
      </x:c>
      <x:c r="F4" s="14" t="str">
        <x:v>상태</x:v>
      </x:c>
      <x:c r="G4" s="14" t="str">
        <x:v>기준 문서</x:v>
      </x:c>
      <x:c r="H4" s="14" t="str">
        <x:v>설명</x:v>
      </x:c>
    </x:row>
    <x:row r="5" ht="15" hidden="0" customHeight="1">
      <x:c r="A5" s="12" t="str">
        <x:v>GL001</x:v>
      </x:c>
      <x:c r="B5" s="12" t="str">
        <x:v>세션</x:v>
      </x:c>
      <x:c r="C5" s="12" t="str">
        <x:v>총 플레이어 수</x:v>
      </x:c>
      <x:c r="D5" s="20" t="n">
        <x:v>2</x:v>
      </x:c>
      <x:c r="E5" s="12" t="str">
        <x:v>명</x:v>
      </x:c>
      <x:c r="F5" s="12" t="str">
        <x:v>확정</x:v>
      </x:c>
      <x:c r="G5" s="12" t="str">
        <x:v>00 핵심 기획</x:v>
      </x:c>
      <x:c r="H5" s="12" t="str">
        <x:v>러너 1명, 빌더 1명</x:v>
      </x:c>
    </x:row>
    <x:row r="6" ht="15" hidden="0" customHeight="1">
      <x:c r="A6" s="12" t="str">
        <x:v>GL002</x:v>
      </x:c>
      <x:c r="B6" s="12" t="str">
        <x:v>웨이브</x:v>
      </x:c>
      <x:c r="C6" s="12" t="str">
        <x:v>전투 시간</x:v>
      </x:c>
      <x:c r="D6" s="20" t="n">
        <x:v>180</x:v>
      </x:c>
      <x:c r="E6" s="12" t="str">
        <x:v>초</x:v>
      </x:c>
      <x:c r="F6" s="12" t="str">
        <x:v>확정</x:v>
      </x:c>
      <x:c r="G6" s="12" t="str">
        <x:v>06 스테이지 및 웨이브</x:v>
      </x:c>
      <x:c r="H6" s="12" t="str">
        <x:v>웨이브 전투 구간</x:v>
      </x:c>
    </x:row>
    <x:row r="7" ht="15" hidden="0" customHeight="1">
      <x:c r="A7" s="12" t="str">
        <x:v>GL003</x:v>
      </x:c>
      <x:c r="B7" s="12" t="str">
        <x:v>웨이브</x:v>
      </x:c>
      <x:c r="C7" s="12" t="str">
        <x:v>정비 시간</x:v>
      </x:c>
      <x:c r="D7" s="20" t="n">
        <x:v>30</x:v>
      </x:c>
      <x:c r="E7" s="12" t="str">
        <x:v>초</x:v>
      </x:c>
      <x:c r="F7" s="12" t="str">
        <x:v>확정</x:v>
      </x:c>
      <x:c r="G7" s="12" t="str">
        <x:v>06 스테이지 및 웨이브</x:v>
      </x:c>
      <x:c r="H7" s="12" t="str">
        <x:v>타워 이전과 준비 구간</x:v>
      </x:c>
    </x:row>
    <x:row r="8" ht="15" hidden="0" customHeight="1">
      <x:c r="A8" s="12" t="str">
        <x:v>GL004</x:v>
      </x:c>
      <x:c r="B8" s="12" t="str">
        <x:v>트랙</x:v>
      </x:c>
      <x:c r="C8" s="12" t="str">
        <x:v>확장 사전 경고</x:v>
      </x:c>
      <x:c r="D8" s="20" t="n">
        <x:v>5</x:v>
      </x:c>
      <x:c r="E8" s="12" t="str">
        <x:v>초</x:v>
      </x:c>
      <x:c r="F8" s="12" t="str">
        <x:v>확정</x:v>
      </x:c>
      <x:c r="G8" s="12" t="str">
        <x:v>06 스테이지 및 웨이브</x:v>
      </x:c>
      <x:c r="H8" s="12" t="str">
        <x:v>메시지 경고</x:v>
      </x:c>
    </x:row>
    <x:row r="9" ht="15" hidden="0" customHeight="1">
      <x:c r="A9" s="12" t="str">
        <x:v>GL005</x:v>
      </x:c>
      <x:c r="B9" s="12" t="str">
        <x:v>승리</x:v>
      </x:c>
      <x:c r="C9" s="12" t="str">
        <x:v>성역 기본 할당량</x:v>
      </x:c>
      <x:c r="D9" s="21" t="n">
        <x:v>0.1</x:v>
      </x:c>
      <x:c r="E9" s="12" t="str">
        <x:v>비율</x:v>
      </x:c>
      <x:c r="F9" s="12" t="str">
        <x:v>임시</x:v>
      </x:c>
      <x:c r="G9" s="12" t="str">
        <x:v>01 게임 진행 / 05 맵</x:v>
      </x:c>
      <x:c r="H9" s="12" t="str">
        <x:v>밸런스 조정 가능, 면적 소수점 내림</x:v>
      </x:c>
    </x:row>
    <x:row r="10" ht="15" hidden="0" customHeight="1">
      <x:c r="A10" s="12" t="str">
        <x:v>GL006</x:v>
      </x:c>
      <x:c r="B10" s="12" t="str">
        <x:v>승리</x:v>
      </x:c>
      <x:c r="C10" s="12" t="str">
        <x:v>관문 생성 수</x:v>
      </x:c>
      <x:c r="D10" s="20" t="n">
        <x:v>1</x:v>
      </x:c>
      <x:c r="E10" s="12" t="str">
        <x:v>개</x:v>
      </x:c>
      <x:c r="F10" s="12" t="str">
        <x:v>확정</x:v>
      </x:c>
      <x:c r="G10" s="12" t="str">
        <x:v>05 맵 및 레벨 디자인</x:v>
      </x:c>
      <x:c r="H10" s="12" t="str">
        <x:v>게임 시작부터 존재</x:v>
      </x:c>
    </x:row>
    <x:row r="11" ht="15" hidden="0" customHeight="1">
      <x:c r="A11" s="12" t="str">
        <x:v>GL007</x:v>
      </x:c>
      <x:c r="B11" s="12" t="str">
        <x:v>맵</x:v>
      </x:c>
      <x:c r="C11" s="12" t="str">
        <x:v>관문 후보 지점</x:v>
      </x:c>
      <x:c r="D11" s="20" t="n">
        <x:v>16</x:v>
      </x:c>
      <x:c r="E11" s="12" t="str">
        <x:v>개</x:v>
      </x:c>
      <x:c r="F11" s="12" t="str">
        <x:v>확정</x:v>
      </x:c>
      <x:c r="G11" s="12" t="str">
        <x:v>05 맵 및 레벨 디자인</x:v>
      </x:c>
      <x:c r="H11" s="12" t="str">
        <x:v>후보 중 한 곳 선택</x:v>
      </x:c>
    </x:row>
    <x:row r="12" ht="15" hidden="0" customHeight="1">
      <x:c r="A12" s="12" t="str">
        <x:v>GL008</x:v>
      </x:c>
      <x:c r="B12" s="12" t="str">
        <x:v>유물</x:v>
      </x:c>
      <x:c r="C12" s="12" t="str">
        <x:v>판당 생성 수</x:v>
      </x:c>
      <x:c r="D12" s="20" t="n">
        <x:v>2</x:v>
      </x:c>
      <x:c r="E12" s="12" t="str">
        <x:v>개</x:v>
      </x:c>
      <x:c r="F12" s="12" t="str">
        <x:v>확정</x:v>
      </x:c>
      <x:c r="G12" s="12" t="str">
        <x:v>13 유물 기획</x:v>
      </x:c>
      <x:c r="H12" s="12" t="str">
        <x:v>같은 유물 중복 가능</x:v>
      </x:c>
    </x:row>
    <x:row r="13" ht="15" hidden="0" customHeight="1">
      <x:c r="A13" s="12" t="str">
        <x:v>GL009</x:v>
      </x:c>
      <x:c r="B13" s="12" t="str">
        <x:v>보급</x:v>
      </x:c>
      <x:c r="C13" s="12" t="str">
        <x:v>보급품 총 한도</x:v>
      </x:c>
      <x:c r="D13" s="20" t="n">
        <x:v>10</x:v>
      </x:c>
      <x:c r="E13" s="12" t="str">
        <x:v>개</x:v>
      </x:c>
      <x:c r="F13" s="12" t="str">
        <x:v>확정</x:v>
      </x:c>
      <x:c r="G13" s="12" t="str">
        <x:v>10 아이템 기획</x:v>
      </x:c>
      <x:c r="H13" s="12" t="str">
        <x:v>대기열과 보급 타워 합계</x:v>
      </x:c>
    </x:row>
    <x:row r="14" ht="21.600000381469727" hidden="0" customHeight="1">
      <x:c r="A14" s="12" t="str">
        <x:v>GL010</x:v>
      </x:c>
      <x:c r="B14" s="12" t="str">
        <x:v>반복</x:v>
      </x:c>
      <x:c r="C14" s="12" t="str">
        <x:v>다음 판 전체 초기화</x:v>
      </x:c>
      <x:c r="D14" s="19" t="b">
        <x:v>1</x:v>
      </x:c>
      <x:c r="E14" s="12" t="str">
        <x:v>논리</x:v>
      </x:c>
      <x:c r="F14" s="12" t="str">
        <x:v>확정</x:v>
      </x:c>
      <x:c r="G14" s="12" t="str">
        <x:v>01 게임 진행 / 06 웨이브</x:v>
      </x:c>
      <x:c r="H14" s="12" t="str">
        <x:v>자원·성장·장비·유물·토큰 초기화</x:v>
      </x:c>
    </x:row>
    <x:row r="15" ht="15" hidden="0" customHeight="1">
      <x:c r="A15" s="12" t="str">
        <x:v>GL011</x:v>
      </x:c>
      <x:c r="B15" s="12" t="str">
        <x:v>협동</x:v>
      </x:c>
      <x:c r="C15" s="12" t="str">
        <x:v>이탈 시 게임 정지</x:v>
      </x:c>
      <x:c r="D15" s="19" t="b">
        <x:v>1</x:v>
      </x:c>
      <x:c r="E15" s="12" t="str">
        <x:v>논리</x:v>
      </x:c>
      <x:c r="F15" s="12" t="str">
        <x:v>확정</x:v>
      </x:c>
      <x:c r="G15" s="12" t="str">
        <x:v>01 게임 진행 및 승패</x:v>
      </x:c>
      <x:c r="H15" s="12" t="str">
        <x:v>종료 또는 재접속 대기</x:v>
      </x:c>
    </x:row>
    <x:row r="16" ht="15" hidden="0" customHeight="1">
      <x:c r="A16" s="12" t="str">
        <x:v>GL012</x:v>
      </x:c>
      <x:c r="B16" s="12" t="str">
        <x:v>맵</x:v>
      </x:c>
      <x:c r="C16" s="12" t="str">
        <x:v>1m당 타일 수</x:v>
      </x:c>
      <x:c r="D16" s="20" t="n">
        <x:v>1</x:v>
      </x:c>
      <x:c r="E16" s="12" t="str">
        <x:v>타일</x:v>
      </x:c>
      <x:c r="F16" s="12" t="str">
        <x:v>확정</x:v>
      </x:c>
      <x:c r="G16" s="12" t="str">
        <x:v>02 러너 / 05 맵</x:v>
      </x:c>
      <x:c r="H16" s="12" t="str">
        <x:v>1m = 1타일</x:v>
      </x:c>
    </x:row>
  </x:sheetData>
  <x:mergeCells>
    <x:mergeCell ref="A1:H1"/>
    <x:mergeCell ref="A2:H2"/>
  </x:mergeCells>
  <x:conditionalFormatting sqref="F5:F16">
    <x:cfRule type="containsText" dxfId="0" priority="1" operator="containsText" text="확정"/>
    <x:cfRule type="containsText" dxfId="1" priority="2" operator="containsText" text="임시"/>
    <x:cfRule type="containsText" dxfId="2" priority="3" operator="containsText" text="질문 필요"/>
    <x:cfRule type="containsText" dxfId="3" priority="4" operator="containsText" text="추후 입력"/>
    <x:cfRule type="containsText" dxfId="4" priority="5" operator="containsText" text="보류"/>
  </x:conditionalFormatting>
  <x:dataValidations count="1">
    <x:dataValidation type="list" sqref="F5:F16">
      <x:formula1>"확정,임시,질문 필요,추후 입력,보류"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f43b713449f48b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16" hidden="0" customWidth="1"/>
    <x:col min="4" max="4" width="14" hidden="0" customWidth="1"/>
    <x:col min="5" max="5" width="16" hidden="0" customWidth="1"/>
    <x:col min="6" max="6" width="14" hidden="0" customWidth="1"/>
    <x:col min="7" max="7" width="18" hidden="0" customWidth="1"/>
    <x:col min="8" max="8" width="14" hidden="0" customWidth="1"/>
    <x:col min="9" max="9" width="14" hidden="0" customWidth="1"/>
    <x:col min="10" max="10" width="34" hidden="0" customWidth="1"/>
  </x:cols>
  <x:sheetData>
    <x:row r="1" ht="19.200000762939453" hidden="0" customHeight="1">
      <x:c r="A1" s="3" t="str">
        <x:v>Runner — 조작과 능력치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15" hidden="0" customHeight="1">
      <x:c r="A2" s="7" t="str">
        <x:v>조작의 상세 결과는 02 플레이어 러너 상세 기획을 확인하고, 이 시트에서는 키와 조정값만 관리합니다.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/>
    <x:row r="4" ht="15" hidden="0" customHeight="1">
      <x:c r="A4" s="14" t="str">
        <x:v>ID</x:v>
      </x:c>
      <x:c r="B4" s="14" t="str">
        <x:v>행동</x:v>
      </x:c>
      <x:c r="C4" s="14" t="str">
        <x:v>입력</x:v>
      </x:c>
      <x:c r="D4" s="14" t="str">
        <x:v>기본값</x:v>
      </x:c>
      <x:c r="E4" s="14" t="str">
        <x:v>단위</x:v>
      </x:c>
      <x:c r="F4" s="14" t="str">
        <x:v>보조값</x:v>
      </x:c>
      <x:c r="G4" s="14" t="str">
        <x:v>보조 단위</x:v>
      </x:c>
      <x:c r="H4" s="14" t="str">
        <x:v>상태</x:v>
      </x:c>
      <x:c r="I4" s="14" t="str">
        <x:v>기준 문서</x:v>
      </x:c>
      <x:c r="J4" s="14" t="str">
        <x:v>메모</x:v>
      </x:c>
    </x:row>
    <x:row r="5" ht="15" hidden="0" customHeight="1">
      <x:c r="A5" s="12" t="n">
        <x:v>1000</x:v>
      </x:c>
      <x:c r="B5" s="12" t="str">
        <x:v>이동</x:v>
      </x:c>
      <x:c r="C5" s="12" t="str">
        <x:v>W/A/S/D</x:v>
      </x:c>
      <x:c r="D5" s="24"/>
      <x:c r="E5" s="12"/>
      <x:c r="F5" s="25"/>
      <x:c r="G5" s="12"/>
      <x:c r="H5" s="12" t="str">
        <x:v>확정</x:v>
      </x:c>
      <x:c r="I5" s="12" t="str">
        <x:v>02 플레이어 러너</x:v>
      </x:c>
      <x:c r="J5" s="12" t="str"/>
    </x:row>
    <x:row r="6" ht="15" hidden="0" customHeight="1">
      <x:c r="A6" s="12" t="n">
        <x:v>1001</x:v>
      </x:c>
      <x:c r="B6" s="12" t="str">
        <x:v>대시</x:v>
      </x:c>
      <x:c r="C6" s="12" t="str">
        <x:v>Shift</x:v>
      </x:c>
      <x:c r="D6" s="12" t="n">
        <x:v>1.5</x:v>
      </x:c>
      <x:c r="E6" s="12" t="str">
        <x:v>이동속도 배수</x:v>
      </x:c>
      <x:c r="F6" s="12" t="n">
        <x:v>12.5</x:v>
      </x:c>
      <x:c r="G6" s="12" t="str">
        <x:v>기력/초</x:v>
      </x:c>
      <x:c r="H6" s="12" t="str">
        <x:v>확정</x:v>
      </x:c>
      <x:c r="I6" s="12" t="str">
        <x:v>02 플레이어 러너</x:v>
      </x:c>
      <x:c r="J6" s="12" t="str">
        <x:v>유지형 또는 설정 토글</x:v>
      </x:c>
    </x:row>
    <x:row r="7" ht="15" hidden="0" customHeight="1">
      <x:c r="A7" s="12" t="n">
        <x:v>1002</x:v>
      </x:c>
      <x:c r="B7" s="12" t="str">
        <x:v>슬라이드</x:v>
      </x:c>
      <x:c r="C7" s="12" t="str">
        <x:v>Ctrl</x:v>
      </x:c>
      <x:c r="D7" s="12" t="n">
        <x:v>3</x:v>
      </x:c>
      <x:c r="E7" s="12" t="str">
        <x:v>시작 속도 배수</x:v>
      </x:c>
      <x:c r="F7" s="12" t="n">
        <x:v>35</x:v>
      </x:c>
      <x:c r="G7" s="12" t="str">
        <x:v>기력</x:v>
      </x:c>
      <x:c r="H7" s="12" t="str">
        <x:v>확정</x:v>
      </x:c>
      <x:c r="I7" s="12" t="str">
        <x:v>02 플레이어 러너</x:v>
      </x:c>
      <x:c r="J7" s="12" t="str">
        <x:v>거리 2.5m, 종료 속도 1배</x:v>
      </x:c>
    </x:row>
    <x:row r="8" ht="15" hidden="0" customHeight="1">
      <x:c r="A8" s="12" t="n">
        <x:v>1003</x:v>
      </x:c>
      <x:c r="B8" s="12" t="str">
        <x:v>중앙 정보</x:v>
      </x:c>
      <x:c r="C8" s="12" t="str">
        <x:v>Space</x:v>
      </x:c>
      <x:c r="D8" s="12" t="n">
        <x:v>15</x:v>
      </x:c>
      <x:c r="E8" s="12" t="str">
        <x:v>m</x:v>
      </x:c>
      <x:c r="F8" s="12" t="n">
        <x:v>60</x:v>
      </x:c>
      <x:c r="G8" s="12" t="str">
        <x:v>최대 m</x:v>
      </x:c>
      <x:c r="H8" s="12" t="str">
        <x:v>확정</x:v>
      </x:c>
      <x:c r="I8" s="12" t="str">
        <x:v>02 플레이어 러너</x:v>
      </x:c>
      <x:c r="J8" s="12" t="str">
        <x:v>트랙 단계별 15/30/45/60</x:v>
      </x:c>
    </x:row>
    <x:row r="9" ht="15" hidden="0" customHeight="1">
      <x:c r="A9" s="12" t="n">
        <x:v>1004</x:v>
      </x:c>
      <x:c r="B9" s="12" t="str">
        <x:v>무기 사용</x:v>
      </x:c>
      <x:c r="C9" s="12" t="str">
        <x:v>Mouse Left</x:v>
      </x:c>
      <x:c r="D9" s="12"/>
      <x:c r="E9" s="12"/>
      <x:c r="F9" s="12"/>
      <x:c r="G9" s="12"/>
      <x:c r="H9" s="12" t="str">
        <x:v>확정</x:v>
      </x:c>
      <x:c r="I9" s="12" t="str">
        <x:v>02 플레이어 러너</x:v>
      </x:c>
      <x:c r="J9" s="12" t="str"/>
    </x:row>
    <x:row r="10" ht="15" hidden="0" customHeight="1">
      <x:c r="A10" s="12" t="n">
        <x:v>1005</x:v>
      </x:c>
      <x:c r="B10" s="12" t="str">
        <x:v>개척 시작</x:v>
      </x:c>
      <x:c r="C10" s="12" t="str">
        <x:v>Mouse Right</x:v>
      </x:c>
      <x:c r="D10" s="12"/>
      <x:c r="E10" s="12"/>
      <x:c r="F10" s="12"/>
      <x:c r="G10" s="12"/>
      <x:c r="H10" s="12" t="str">
        <x:v>확정</x:v>
      </x:c>
      <x:c r="I10" s="12" t="str">
        <x:v>02 러너 / 04 영역</x:v>
      </x:c>
      <x:c r="J10" s="12" t="str">
        <x:v>영역 경계에서 시작</x:v>
      </x:c>
    </x:row>
    <x:row r="11" ht="15" hidden="0" customHeight="1">
      <x:c r="A11" s="12" t="n">
        <x:v>1006</x:v>
      </x:c>
      <x:c r="B11" s="12" t="str">
        <x:v>아이템 사용</x:v>
      </x:c>
      <x:c r="C11" s="12" t="str">
        <x:v>Q</x:v>
      </x:c>
      <x:c r="D11" s="12"/>
      <x:c r="E11" s="12"/>
      <x:c r="F11" s="12"/>
      <x:c r="G11" s="12"/>
      <x:c r="H11" s="12" t="str">
        <x:v>확정</x:v>
      </x:c>
      <x:c r="I11" s="12" t="str">
        <x:v>02 러너 / 10 아이템</x:v>
      </x:c>
      <x:c r="J11" s="12" t="str"/>
    </x:row>
    <x:row r="12" ht="15" hidden="0" customHeight="1">
      <x:c r="A12" s="12" t="n">
        <x:v>1007</x:v>
      </x:c>
      <x:c r="B12" s="12" t="str">
        <x:v>스킬 사용</x:v>
      </x:c>
      <x:c r="C12" s="12" t="str">
        <x:v>E</x:v>
      </x:c>
      <x:c r="D12" s="12" t="n">
        <x:v>35</x:v>
      </x:c>
      <x:c r="E12" s="12" t="str">
        <x:v>기력</x:v>
      </x:c>
      <x:c r="F12" s="12"/>
      <x:c r="G12" s="12"/>
      <x:c r="H12" s="12" t="str">
        <x:v>확정</x:v>
      </x:c>
      <x:c r="I12" s="12" t="str">
        <x:v>11 스킬 기획</x:v>
      </x:c>
      <x:c r="J12" s="12" t="str">
        <x:v>스킬 공통 비용</x:v>
      </x:c>
    </x:row>
    <x:row r="13" ht="15" hidden="0" customHeight="1">
      <x:c r="A13" s="12" t="n">
        <x:v>1008</x:v>
      </x:c>
      <x:c r="B13" s="12" t="str">
        <x:v>상호작용</x:v>
      </x:c>
      <x:c r="C13" s="12" t="str">
        <x:v>F</x:v>
      </x:c>
      <x:c r="D13" s="12"/>
      <x:c r="E13" s="12"/>
      <x:c r="F13" s="12"/>
      <x:c r="G13" s="12"/>
      <x:c r="H13" s="12" t="str">
        <x:v>확정</x:v>
      </x:c>
      <x:c r="I13" s="12" t="str">
        <x:v>02 플레이어 러너</x:v>
      </x:c>
      <x:c r="J13" s="12" t="str"/>
    </x:row>
    <x:row r="14" ht="15" hidden="0" customHeight="1">
      <x:c r="A14" s="12" t="n">
        <x:v>1009</x:v>
      </x:c>
      <x:c r="B14" s="12" t="str">
        <x:v>스마트 핑</x:v>
      </x:c>
      <x:c r="C14" s="12" t="str">
        <x:v>Alt + Mouse</x:v>
      </x:c>
      <x:c r="D14" s="12"/>
      <x:c r="E14" s="12"/>
      <x:c r="F14" s="12"/>
      <x:c r="G14" s="12"/>
      <x:c r="H14" s="12" t="str">
        <x:v>추후 입력</x:v>
      </x:c>
      <x:c r="I14" s="12" t="str">
        <x:v>17 공통 UI·UX</x:v>
      </x:c>
      <x:c r="J14" s="12" t="str">
        <x:v>비주얼 기획 후 입력</x:v>
      </x:c>
    </x:row>
    <x:row r="15"/>
    <x:row r="16"/>
    <x:row r="17"/>
    <x:row r="18" ht="15" hidden="0" customHeight="1">
      <x:c r="A18" s="23" t="str">
        <x:v>ID</x:v>
      </x:c>
      <x:c r="B18" s="23" t="str">
        <x:v>능력치</x:v>
      </x:c>
      <x:c r="C18" s="23" t="str">
        <x:v>기본값</x:v>
      </x:c>
      <x:c r="D18" s="23" t="str">
        <x:v>성장 최대</x:v>
      </x:c>
      <x:c r="E18" s="23" t="str">
        <x:v>특수값 1</x:v>
      </x:c>
      <x:c r="F18" s="23" t="str">
        <x:v>특수값 2</x:v>
      </x:c>
      <x:c r="G18" s="23" t="str">
        <x:v>단위</x:v>
      </x:c>
      <x:c r="H18" s="23" t="str">
        <x:v>상태</x:v>
      </x:c>
      <x:c r="I18" s="23" t="str">
        <x:v>기준 문서</x:v>
      </x:c>
      <x:c r="J18" s="23" t="str">
        <x:v>메모</x:v>
      </x:c>
    </x:row>
    <x:row r="19" ht="15" hidden="0" customHeight="1">
      <x:c r="A19" s="12" t="n">
        <x:v>1100</x:v>
      </x:c>
      <x:c r="B19" s="12" t="str">
        <x:v>체력</x:v>
      </x:c>
      <x:c r="C19" s="12" t="n">
        <x:v>300</x:v>
      </x:c>
      <x:c r="D19" s="12" t="n">
        <x:v>600</x:v>
      </x:c>
      <x:c r="E19" s="12"/>
      <x:c r="F19" s="12"/>
      <x:c r="G19" s="12" t="str">
        <x:v>HP</x:v>
      </x:c>
      <x:c r="H19" s="12" t="str">
        <x:v>확정</x:v>
      </x:c>
      <x:c r="I19" s="12" t="str">
        <x:v>02 플레이어 러너</x:v>
      </x:c>
      <x:c r="J19" s="12" t="str"/>
    </x:row>
    <x:row r="20" ht="15" hidden="0" customHeight="1">
      <x:c r="A20" s="12" t="n">
        <x:v>1101</x:v>
      </x:c>
      <x:c r="B20" s="12" t="str">
        <x:v>이동속도</x:v>
      </x:c>
      <x:c r="C20" s="12" t="n">
        <x:v>1</x:v>
      </x:c>
      <x:c r="D20" s="12" t="n">
        <x:v>2.2</x:v>
      </x:c>
      <x:c r="E20" s="12" t="n">
        <x:v>4</x:v>
      </x:c>
      <x:c r="F20" s="12"/>
      <x:c r="G20" s="12" t="str">
        <x:v>배수</x:v>
      </x:c>
      <x:c r="H20" s="12" t="str">
        <x:v>확정</x:v>
      </x:c>
      <x:c r="I20" s="12" t="str">
        <x:v>02 플레이어 러너</x:v>
      </x:c>
      <x:c r="J20" s="12" t="str">
        <x:v>특수값1은 순간 최고 속도</x:v>
      </x:c>
    </x:row>
    <x:row r="21" ht="15" hidden="0" customHeight="1">
      <x:c r="A21" s="12" t="n">
        <x:v>1102</x:v>
      </x:c>
      <x:c r="B21" s="12" t="str">
        <x:v>기력</x:v>
      </x:c>
      <x:c r="C21" s="12" t="n">
        <x:v>100</x:v>
      </x:c>
      <x:c r="D21" s="12" t="n">
        <x:v>200</x:v>
      </x:c>
      <x:c r="E21" s="12" t="n">
        <x:v>8.333</x:v>
      </x:c>
      <x:c r="F21" s="12" t="n">
        <x:v>16.66</x:v>
      </x:c>
      <x:c r="G21" s="12" t="str">
        <x:v>기력/초</x:v>
      </x:c>
      <x:c r="H21" s="12" t="str">
        <x:v>확정</x:v>
      </x:c>
      <x:c r="I21" s="12" t="str">
        <x:v>02 플레이어 러너</x:v>
      </x:c>
      <x:c r="J21" s="12" t="str">
        <x:v>특수값1/2는 기본/최대 회복</x:v>
      </x:c>
    </x:row>
    <x:row r="22" ht="15" hidden="0" customHeight="1">
      <x:c r="A22" s="12" t="n">
        <x:v>1103</x:v>
      </x:c>
      <x:c r="B22" s="12" t="str">
        <x:v>주파력</x:v>
      </x:c>
      <x:c r="C22" s="12" t="n">
        <x:v>30</x:v>
      </x:c>
      <x:c r="D22" s="12"/>
      <x:c r="E22" s="12" t="n">
        <x:v>-0.5</x:v>
      </x:c>
      <x:c r="F22" s="12"/>
      <x:c r="G22" s="12" t="str">
        <x:v>m / 이동속도 비율</x:v>
      </x:c>
      <x:c r="H22" s="12" t="str">
        <x:v>질문 필요</x:v>
      </x:c>
      <x:c r="I22" s="12" t="str">
        <x:v>02 러너 / 09 경제</x:v>
      </x:c>
      <x:c r="J22" s="12" t="str">
        <x:v>소진 시 이동속도 50% 감소, 성장 단계 질문</x:v>
      </x:c>
    </x:row>
    <x:row r="23" ht="15" hidden="0" customHeight="1">
      <x:c r="A23" s="12" t="n">
        <x:v>1104</x:v>
      </x:c>
      <x:c r="B23" s="12" t="str">
        <x:v>피해 감소</x:v>
      </x:c>
      <x:c r="C23" s="12" t="n">
        <x:v>0</x:v>
      </x:c>
      <x:c r="D23" s="12" t="n">
        <x:v>0.5</x:v>
      </x:c>
      <x:c r="E23" s="12"/>
      <x:c r="F23" s="12"/>
      <x:c r="G23" s="12" t="str">
        <x:v>비율</x:v>
      </x:c>
      <x:c r="H23" s="12" t="str">
        <x:v>확정</x:v>
      </x:c>
      <x:c r="I23" s="12" t="str">
        <x:v>02 플레이어 러너</x:v>
      </x:c>
      <x:c r="J23" s="12" t="str">
        <x:v>피해 계산 최후순위</x:v>
      </x:c>
    </x:row>
    <x:row r="24" ht="15" hidden="0" customHeight="1">
      <x:c r="A24" s="12" t="n">
        <x:v>1105</x:v>
      </x:c>
      <x:c r="B24" s="12" t="str">
        <x:v>무기 공격력</x:v>
      </x:c>
      <x:c r="C24" s="12" t="n">
        <x:v>1</x:v>
      </x:c>
      <x:c r="D24" s="12" t="n">
        <x:v>20</x:v>
      </x:c>
      <x:c r="E24" s="12"/>
      <x:c r="F24" s="12"/>
      <x:c r="G24" s="12" t="str">
        <x:v>배수</x:v>
      </x:c>
      <x:c r="H24" s="12" t="str">
        <x:v>확정</x:v>
      </x:c>
      <x:c r="I24" s="12" t="str">
        <x:v>02 플레이어 러너</x:v>
      </x:c>
      <x:c r="J24" s="12" t="str">
        <x:v>모든 무기 공통</x:v>
      </x:c>
    </x:row>
  </x:sheetData>
  <x:mergeCells>
    <x:mergeCell ref="A1:J1"/>
    <x:mergeCell ref="A2:J2"/>
  </x:mergeCells>
  <x:conditionalFormatting sqref="H5:H14">
    <x:cfRule type="containsText" dxfId="5" priority="1" operator="containsText" text="확정"/>
    <x:cfRule type="containsText" dxfId="6" priority="2" operator="containsText" text="임시"/>
    <x:cfRule type="containsText" dxfId="7" priority="3" operator="containsText" text="질문 필요"/>
    <x:cfRule type="containsText" dxfId="8" priority="4" operator="containsText" text="추후 입력"/>
    <x:cfRule type="containsText" dxfId="9" priority="5" operator="containsText" text="보류"/>
  </x:conditionalFormatting>
  <x:conditionalFormatting sqref="H19:H24">
    <x:cfRule type="containsText" dxfId="10" priority="6" operator="containsText" text="확정"/>
    <x:cfRule type="containsText" dxfId="11" priority="7" operator="containsText" text="임시"/>
    <x:cfRule type="containsText" dxfId="12" priority="8" operator="containsText" text="질문 필요"/>
    <x:cfRule type="containsText" dxfId="13" priority="9" operator="containsText" text="추후 입력"/>
    <x:cfRule type="containsText" dxfId="14" priority="10" operator="containsText" text="보류"/>
  </x:conditionalFormatting>
  <x:dataValidations count="2">
    <x:dataValidation type="list" sqref="H5:H14">
      <x:formula1>"확정,임시,질문 필요,추후 입력,보류"</x:formula1>
    </x:dataValidation>
    <x:dataValidation type="list" sqref="H19:H24">
      <x:formula1>"확정,임시,질문 필요,추후 입력,보류"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cd0d9e1a077c42a8"/>
    <x:tablePart xmlns:r="http://schemas.openxmlformats.org/officeDocument/2006/relationships" r:id="R722b76a04e8b444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6" hidden="0" customWidth="1"/>
    <x:col min="10" max="10" width="14" hidden="0" customWidth="1"/>
    <x:col min="11" max="11" width="34" hidden="0" customWidth="1"/>
  </x:cols>
  <x:sheetData>
    <x:row r="1" ht="19.200000762939453" hidden="0" customHeight="1">
      <x:c r="A1" s="3" t="str">
        <x:v>Economy — 자원·업그레이드·토큰 상점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15" hidden="0" customHeight="1">
      <x:c r="A2" s="7" t="str">
        <x:v>자원 생성 개수는 최초 테스트용 임시값입니다. 총량은 수식으로 계산되며 숫자 셀만 수정합니다.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3"/>
    <x:row r="4" ht="15" hidden="0" customHeight="1">
      <x:c r="A4" s="14" t="str">
        <x:v>ID</x:v>
      </x:c>
      <x:c r="B4" s="14" t="str">
        <x:v>자원</x:v>
      </x:c>
      <x:c r="C4" s="14" t="str">
        <x:v>소형 값</x:v>
      </x:c>
      <x:c r="D4" s="14" t="str">
        <x:v>소형 개수</x:v>
      </x:c>
      <x:c r="E4" s="14" t="str">
        <x:v>중형 값</x:v>
      </x:c>
      <x:c r="F4" s="14" t="str">
        <x:v>중형 개수</x:v>
      </x:c>
      <x:c r="G4" s="14" t="str">
        <x:v>대형 값</x:v>
      </x:c>
      <x:c r="H4" s="14" t="str">
        <x:v>대형 개수</x:v>
      </x:c>
      <x:c r="I4" s="14" t="str">
        <x:v>총 획득량</x:v>
      </x:c>
      <x:c r="J4" s="14" t="str">
        <x:v>상태</x:v>
      </x:c>
      <x:c r="K4" s="14" t="str">
        <x:v>메모</x:v>
      </x:c>
    </x:row>
    <x:row r="5" ht="15" hidden="0" customHeight="1">
      <x:c r="A5" s="12" t="n">
        <x:v>2500</x:v>
      </x:c>
      <x:c r="B5" s="12" t="str">
        <x:v>광물</x:v>
      </x:c>
      <x:c r="C5" s="28" t="n">
        <x:v>100</x:v>
      </x:c>
      <x:c r="D5" s="28" t="n">
        <x:v>24</x:v>
      </x:c>
      <x:c r="E5" s="28" t="n">
        <x:v>200</x:v>
      </x:c>
      <x:c r="F5" s="28" t="n">
        <x:v>12</x:v>
      </x:c>
      <x:c r="G5" s="28" t="n">
        <x:v>300</x:v>
      </x:c>
      <x:c r="H5" s="28" t="n">
        <x:v>6</x:v>
      </x:c>
      <x:c r="I5" s="28" t="n">
        <x:f>C5*D5+E5*F5+G5*H5</x:f>
        <x:v>6600</x:v>
      </x:c>
      <x:c r="J5" s="12" t="str">
        <x:v>임시</x:v>
      </x:c>
      <x:c r="K5" s="12" t="str">
        <x:v>시작 지역 추가 자원 포함</x:v>
      </x:c>
    </x:row>
    <x:row r="6" ht="15" hidden="0" customHeight="1">
      <x:c r="A6" s="12" t="n">
        <x:v>2501</x:v>
      </x:c>
      <x:c r="B6" s="12" t="str">
        <x:v>가스</x:v>
      </x:c>
      <x:c r="C6" s="28" t="n">
        <x:v>100</x:v>
      </x:c>
      <x:c r="D6" s="28" t="n">
        <x:v>12</x:v>
      </x:c>
      <x:c r="E6" s="28" t="n">
        <x:v>200</x:v>
      </x:c>
      <x:c r="F6" s="28" t="n">
        <x:v>6</x:v>
      </x:c>
      <x:c r="G6" s="28" t="n">
        <x:v>300</x:v>
      </x:c>
      <x:c r="H6" s="28" t="n">
        <x:v>3</x:v>
      </x:c>
      <x:c r="I6" s="28" t="n">
        <x:f>C6*D6+E6*F6+G6*H6</x:f>
        <x:v>3300</x:v>
      </x:c>
      <x:c r="J6" s="12" t="str">
        <x:v>임시</x:v>
      </x:c>
      <x:c r="K6" s="12" t="str">
        <x:v>광물 총량의 1/2 기준</x:v>
      </x:c>
    </x:row>
    <x:row r="7"/>
    <x:row r="8"/>
    <x:row r="9" ht="15" hidden="0" customHeight="1">
      <x:c r="A9" s="23" t="str">
        <x:v>ID</x:v>
      </x:c>
      <x:c r="B9" s="23" t="str">
        <x:v>대상</x:v>
      </x:c>
      <x:c r="C9" s="23" t="str">
        <x:v>업그레이드</x:v>
      </x:c>
      <x:c r="D9" s="23" t="str">
        <x:v>회당 증가</x:v>
      </x:c>
      <x:c r="E9" s="23" t="str">
        <x:v>단위</x:v>
      </x:c>
      <x:c r="F9" s="23" t="str">
        <x:v>기본 비용</x:v>
      </x:c>
      <x:c r="G9" s="23" t="str">
        <x:v>단계 증가 비용</x:v>
      </x:c>
      <x:c r="H9" s="23" t="str">
        <x:v>재화</x:v>
      </x:c>
      <x:c r="I9" s="23" t="str">
        <x:v>최대 회수</x:v>
      </x:c>
      <x:c r="J9" s="23" t="str">
        <x:v>상태</x:v>
      </x:c>
      <x:c r="K9" s="23" t="str">
        <x:v>메모</x:v>
      </x:c>
    </x:row>
    <x:row r="10" ht="15" hidden="0" customHeight="1">
      <x:c r="A10" s="12" t="n">
        <x:v>2200</x:v>
      </x:c>
      <x:c r="B10" s="12" t="str">
        <x:v>타워 속성</x:v>
      </x:c>
      <x:c r="C10" s="12" t="str">
        <x:v>화염 피해</x:v>
      </x:c>
      <x:c r="D10" s="29" t="n">
        <x:v>0.05</x:v>
      </x:c>
      <x:c r="E10" s="29" t="str">
        <x:v>비율</x:v>
      </x:c>
      <x:c r="F10" s="12" t="n">
        <x:v>100</x:v>
      </x:c>
      <x:c r="G10" s="12" t="n">
        <x:v>10</x:v>
      </x:c>
      <x:c r="H10" s="12" t="str">
        <x:v>광물</x:v>
      </x:c>
      <x:c r="I10" s="12"/>
      <x:c r="J10" s="12" t="str">
        <x:v>확정</x:v>
      </x:c>
      <x:c r="K10" s="12" t="str">
        <x:v>100 + 10×N</x:v>
      </x:c>
    </x:row>
    <x:row r="11" ht="15" hidden="0" customHeight="1">
      <x:c r="A11" s="12" t="n">
        <x:v>2201</x:v>
      </x:c>
      <x:c r="B11" s="12" t="str">
        <x:v>타워 속성</x:v>
      </x:c>
      <x:c r="C11" s="12" t="str">
        <x:v>전격 피해</x:v>
      </x:c>
      <x:c r="D11" s="29" t="n">
        <x:v>0.05</x:v>
      </x:c>
      <x:c r="E11" s="29" t="str">
        <x:v>비율</x:v>
      </x:c>
      <x:c r="F11" s="12" t="n">
        <x:v>100</x:v>
      </x:c>
      <x:c r="G11" s="12" t="n">
        <x:v>10</x:v>
      </x:c>
      <x:c r="H11" s="12" t="str">
        <x:v>광물</x:v>
      </x:c>
      <x:c r="I11" s="12"/>
      <x:c r="J11" s="12" t="str">
        <x:v>확정</x:v>
      </x:c>
      <x:c r="K11" s="12" t="str">
        <x:v>100 + 10×N</x:v>
      </x:c>
    </x:row>
    <x:row r="12" ht="15" hidden="0" customHeight="1">
      <x:c r="A12" s="12" t="n">
        <x:v>2202</x:v>
      </x:c>
      <x:c r="B12" s="12" t="str">
        <x:v>타워 속성</x:v>
      </x:c>
      <x:c r="C12" s="12" t="str">
        <x:v>생화학 피해</x:v>
      </x:c>
      <x:c r="D12" s="29" t="n">
        <x:v>0.05</x:v>
      </x:c>
      <x:c r="E12" s="29" t="str">
        <x:v>비율</x:v>
      </x:c>
      <x:c r="F12" s="12" t="n">
        <x:v>100</x:v>
      </x:c>
      <x:c r="G12" s="12" t="n">
        <x:v>10</x:v>
      </x:c>
      <x:c r="H12" s="12" t="str">
        <x:v>광물</x:v>
      </x:c>
      <x:c r="I12" s="12"/>
      <x:c r="J12" s="12" t="str">
        <x:v>확정</x:v>
      </x:c>
      <x:c r="K12" s="12" t="str">
        <x:v>100 + 10×N</x:v>
      </x:c>
    </x:row>
    <x:row r="13" ht="15" hidden="0" customHeight="1">
      <x:c r="A13" s="12" t="n">
        <x:v>2203</x:v>
      </x:c>
      <x:c r="B13" s="12" t="str">
        <x:v>공격 타워</x:v>
      </x:c>
      <x:c r="C13" s="12" t="str">
        <x:v>센트리건 피해</x:v>
      </x:c>
      <x:c r="D13" s="29" t="n">
        <x:v>0.2</x:v>
      </x:c>
      <x:c r="E13" s="29" t="str">
        <x:v>비율</x:v>
      </x:c>
      <x:c r="F13" s="12" t="n">
        <x:v>100</x:v>
      </x:c>
      <x:c r="G13" s="12" t="n">
        <x:v>50</x:v>
      </x:c>
      <x:c r="H13" s="12" t="str">
        <x:v>광물</x:v>
      </x:c>
      <x:c r="I13" s="12" t="n">
        <x:v>5</x:v>
      </x:c>
      <x:c r="J13" s="12" t="str">
        <x:v>확정</x:v>
      </x:c>
      <x:c r="K13" s="12" t="str">
        <x:v>100 + 50×N</x:v>
      </x:c>
    </x:row>
    <x:row r="14" ht="15" hidden="0" customHeight="1">
      <x:c r="A14" s="12" t="n">
        <x:v>2204</x:v>
      </x:c>
      <x:c r="B14" s="12" t="str">
        <x:v>공격 타워</x:v>
      </x:c>
      <x:c r="C14" s="12" t="str">
        <x:v>레일건 피해</x:v>
      </x:c>
      <x:c r="D14" s="29" t="n">
        <x:v>0.2</x:v>
      </x:c>
      <x:c r="E14" s="29" t="str">
        <x:v>비율</x:v>
      </x:c>
      <x:c r="F14" s="12" t="n">
        <x:v>100</x:v>
      </x:c>
      <x:c r="G14" s="12" t="n">
        <x:v>50</x:v>
      </x:c>
      <x:c r="H14" s="12" t="str">
        <x:v>광물</x:v>
      </x:c>
      <x:c r="I14" s="12" t="n">
        <x:v>5</x:v>
      </x:c>
      <x:c r="J14" s="12" t="str">
        <x:v>확정</x:v>
      </x:c>
      <x:c r="K14" s="12" t="str">
        <x:v>100 + 50×N</x:v>
      </x:c>
    </x:row>
    <x:row r="15" ht="15" hidden="0" customHeight="1">
      <x:c r="A15" s="12" t="n">
        <x:v>2205</x:v>
      </x:c>
      <x:c r="B15" s="12" t="str">
        <x:v>공격 타워</x:v>
      </x:c>
      <x:c r="C15" s="12" t="str">
        <x:v>미사일 피해</x:v>
      </x:c>
      <x:c r="D15" s="29" t="n">
        <x:v>0.2</x:v>
      </x:c>
      <x:c r="E15" s="29" t="str">
        <x:v>비율</x:v>
      </x:c>
      <x:c r="F15" s="12" t="n">
        <x:v>100</x:v>
      </x:c>
      <x:c r="G15" s="12" t="n">
        <x:v>50</x:v>
      </x:c>
      <x:c r="H15" s="12" t="str">
        <x:v>광물</x:v>
      </x:c>
      <x:c r="I15" s="12" t="n">
        <x:v>5</x:v>
      </x:c>
      <x:c r="J15" s="12" t="str">
        <x:v>확정</x:v>
      </x:c>
      <x:c r="K15" s="12" t="str">
        <x:v>100 + 50×N</x:v>
      </x:c>
    </x:row>
    <x:row r="16" ht="15" hidden="0" customHeight="1">
      <x:c r="A16" s="12" t="n">
        <x:v>2206</x:v>
      </x:c>
      <x:c r="B16" s="12" t="str">
        <x:v>공격 타워</x:v>
      </x:c>
      <x:c r="C16" s="12" t="str">
        <x:v>레이저 피해</x:v>
      </x:c>
      <x:c r="D16" s="29" t="n">
        <x:v>0.2</x:v>
      </x:c>
      <x:c r="E16" s="29" t="str">
        <x:v>비율</x:v>
      </x:c>
      <x:c r="F16" s="12" t="n">
        <x:v>100</x:v>
      </x:c>
      <x:c r="G16" s="12" t="n">
        <x:v>50</x:v>
      </x:c>
      <x:c r="H16" s="12" t="str">
        <x:v>광물</x:v>
      </x:c>
      <x:c r="I16" s="12" t="n">
        <x:v>5</x:v>
      </x:c>
      <x:c r="J16" s="12" t="str">
        <x:v>확정</x:v>
      </x:c>
      <x:c r="K16" s="12" t="str">
        <x:v>100 + 50×N</x:v>
      </x:c>
    </x:row>
    <x:row r="17" ht="15" hidden="0" customHeight="1">
      <x:c r="A17" s="12" t="n">
        <x:v>2207</x:v>
      </x:c>
      <x:c r="B17" s="12" t="str">
        <x:v>공격 타워</x:v>
      </x:c>
      <x:c r="C17" s="12" t="str">
        <x:v>블레이드 피해</x:v>
      </x:c>
      <x:c r="D17" s="29" t="n">
        <x:v>0.2</x:v>
      </x:c>
      <x:c r="E17" s="29" t="str">
        <x:v>비율</x:v>
      </x:c>
      <x:c r="F17" s="12" t="n">
        <x:v>100</x:v>
      </x:c>
      <x:c r="G17" s="12" t="n">
        <x:v>50</x:v>
      </x:c>
      <x:c r="H17" s="12" t="str">
        <x:v>광물</x:v>
      </x:c>
      <x:c r="I17" s="12" t="n">
        <x:v>5</x:v>
      </x:c>
      <x:c r="J17" s="12" t="str">
        <x:v>확정</x:v>
      </x:c>
      <x:c r="K17" s="12" t="str">
        <x:v>100 + 50×N</x:v>
      </x:c>
    </x:row>
    <x:row r="18" ht="15" hidden="0" customHeight="1">
      <x:c r="A18" s="12" t="n">
        <x:v>2300</x:v>
      </x:c>
      <x:c r="B18" s="12" t="str">
        <x:v>러너</x:v>
      </x:c>
      <x:c r="C18" s="12" t="str">
        <x:v>최대 체력</x:v>
      </x:c>
      <x:c r="D18" s="29" t="n">
        <x:v>75</x:v>
      </x:c>
      <x:c r="E18" s="29" t="str">
        <x:v>HP</x:v>
      </x:c>
      <x:c r="F18" s="12" t="n">
        <x:v>0</x:v>
      </x:c>
      <x:c r="G18" s="12" t="n">
        <x:v>100</x:v>
      </x:c>
      <x:c r="H18" s="12" t="str">
        <x:v>가스</x:v>
      </x:c>
      <x:c r="I18" s="12" t="n">
        <x:v>4</x:v>
      </x:c>
      <x:c r="J18" s="12" t="str">
        <x:v>확정</x:v>
      </x:c>
      <x:c r="K18" s="12" t="str">
        <x:v>비용 100×N, N=0부터</x:v>
      </x:c>
    </x:row>
    <x:row r="19" ht="15" hidden="0" customHeight="1">
      <x:c r="A19" s="12" t="n">
        <x:v>2301</x:v>
      </x:c>
      <x:c r="B19" s="12" t="str">
        <x:v>러너</x:v>
      </x:c>
      <x:c r="C19" s="12" t="str">
        <x:v>이동속도</x:v>
      </x:c>
      <x:c r="D19" s="29" t="n">
        <x:v>0.3</x:v>
      </x:c>
      <x:c r="E19" s="29" t="str">
        <x:v>배수</x:v>
      </x:c>
      <x:c r="F19" s="12" t="n">
        <x:v>0</x:v>
      </x:c>
      <x:c r="G19" s="12" t="n">
        <x:v>100</x:v>
      </x:c>
      <x:c r="H19" s="12" t="str">
        <x:v>가스</x:v>
      </x:c>
      <x:c r="I19" s="12" t="n">
        <x:v>4</x:v>
      </x:c>
      <x:c r="J19" s="12" t="str">
        <x:v>확정</x:v>
      </x:c>
      <x:c r="K19" s="12" t="str">
        <x:v>비용 100×N</x:v>
      </x:c>
    </x:row>
    <x:row r="20" ht="15" hidden="0" customHeight="1">
      <x:c r="A20" s="12" t="n">
        <x:v>2302</x:v>
      </x:c>
      <x:c r="B20" s="12" t="str">
        <x:v>러너</x:v>
      </x:c>
      <x:c r="C20" s="12" t="str">
        <x:v>최대 기력</x:v>
      </x:c>
      <x:c r="D20" s="29" t="n">
        <x:v>25</x:v>
      </x:c>
      <x:c r="E20" s="29" t="str">
        <x:v>기력</x:v>
      </x:c>
      <x:c r="F20" s="12" t="n">
        <x:v>0</x:v>
      </x:c>
      <x:c r="G20" s="12" t="n">
        <x:v>100</x:v>
      </x:c>
      <x:c r="H20" s="12" t="str">
        <x:v>가스</x:v>
      </x:c>
      <x:c r="I20" s="12" t="n">
        <x:v>4</x:v>
      </x:c>
      <x:c r="J20" s="12" t="str">
        <x:v>확정</x:v>
      </x:c>
      <x:c r="K20" s="12" t="str">
        <x:v>비용 100×N</x:v>
      </x:c>
    </x:row>
    <x:row r="21" ht="15" hidden="0" customHeight="1">
      <x:c r="A21" s="12" t="n">
        <x:v>2303</x:v>
      </x:c>
      <x:c r="B21" s="12" t="str">
        <x:v>러너</x:v>
      </x:c>
      <x:c r="C21" s="12" t="str">
        <x:v>기력 회복</x:v>
      </x:c>
      <x:c r="D21" s="29" t="n">
        <x:v>0.25</x:v>
      </x:c>
      <x:c r="E21" s="29" t="str">
        <x:v>배수</x:v>
      </x:c>
      <x:c r="F21" s="12" t="n">
        <x:v>0</x:v>
      </x:c>
      <x:c r="G21" s="12" t="n">
        <x:v>50</x:v>
      </x:c>
      <x:c r="H21" s="12" t="str">
        <x:v>가스</x:v>
      </x:c>
      <x:c r="I21" s="12" t="n">
        <x:v>4</x:v>
      </x:c>
      <x:c r="J21" s="12" t="str">
        <x:v>확정</x:v>
      </x:c>
      <x:c r="K21" s="12" t="str">
        <x:v>비용 50×N</x:v>
      </x:c>
    </x:row>
    <x:row r="22" ht="15" hidden="0" customHeight="1">
      <x:c r="A22" s="12" t="n">
        <x:v>2304</x:v>
      </x:c>
      <x:c r="B22" s="12" t="str">
        <x:v>러너</x:v>
      </x:c>
      <x:c r="C22" s="12" t="str">
        <x:v>주파력</x:v>
      </x:c>
      <x:c r="D22" s="29"/>
      <x:c r="E22" s="29" t="str">
        <x:v>m</x:v>
      </x:c>
      <x:c r="F22" s="12" t="n">
        <x:v>0</x:v>
      </x:c>
      <x:c r="G22" s="12" t="n">
        <x:v>100</x:v>
      </x:c>
      <x:c r="H22" s="12" t="str">
        <x:v>가스</x:v>
      </x:c>
      <x:c r="I22" s="12" t="n">
        <x:v>2</x:v>
      </x:c>
      <x:c r="J22" s="12" t="str">
        <x:v>질문 필요</x:v>
      </x:c>
      <x:c r="K22" s="12" t="str">
        <x:v>60/90/120 표기 충돌</x:v>
      </x:c>
    </x:row>
    <x:row r="23" ht="15" hidden="0" customHeight="1">
      <x:c r="A23" s="12" t="n">
        <x:v>2305</x:v>
      </x:c>
      <x:c r="B23" s="12" t="str">
        <x:v>러너</x:v>
      </x:c>
      <x:c r="C23" s="12" t="str">
        <x:v>무기 공격력</x:v>
      </x:c>
      <x:c r="D23" s="29" t="n">
        <x:v>0.3</x:v>
      </x:c>
      <x:c r="E23" s="29" t="str">
        <x:v>배수</x:v>
      </x:c>
      <x:c r="F23" s="12" t="n">
        <x:v>0</x:v>
      </x:c>
      <x:c r="G23" s="12" t="n">
        <x:v>100</x:v>
      </x:c>
      <x:c r="H23" s="12" t="str">
        <x:v>가스</x:v>
      </x:c>
      <x:c r="I23" s="12" t="n">
        <x:v>4</x:v>
      </x:c>
      <x:c r="J23" s="12" t="str">
        <x:v>확정</x:v>
      </x:c>
      <x:c r="K23" s="12" t="str">
        <x:v>비용 100×N</x:v>
      </x:c>
    </x:row>
    <x:row r="24"/>
    <x:row r="25"/>
    <x:row r="26"/>
    <x:row r="27" ht="15" hidden="0" customHeight="1">
      <x:c r="A27" s="27" t="str">
        <x:v>ID</x:v>
      </x:c>
      <x:c r="B27" s="27" t="str">
        <x:v>상품</x:v>
      </x:c>
      <x:c r="C27" s="27" t="str">
        <x:v>분류</x:v>
      </x:c>
      <x:c r="D27" s="27" t="str">
        <x:v>토큰 가격</x:v>
      </x:c>
      <x:c r="E27" s="27" t="str">
        <x:v>구매 시작(초)</x:v>
      </x:c>
      <x:c r="F27" s="27" t="str">
        <x:v>판당 제한</x:v>
      </x:c>
      <x:c r="G27" s="27" t="str">
        <x:v>수치 1</x:v>
      </x:c>
      <x:c r="H27" s="27" t="str">
        <x:v>단위</x:v>
      </x:c>
      <x:c r="I27" s="27" t="str">
        <x:v>상태</x:v>
      </x:c>
      <x:c r="J27" s="27" t="str">
        <x:v>기준 문서</x:v>
      </x:c>
      <x:c r="K27" s="27" t="str">
        <x:v>메모</x:v>
      </x:c>
    </x:row>
    <x:row r="28" ht="15" hidden="0" customHeight="1">
      <x:c r="A28" s="12" t="n">
        <x:v>2400</x:v>
      </x:c>
      <x:c r="B28" s="12" t="str">
        <x:v>왜곡 깃발</x:v>
      </x:c>
      <x:c r="C28" s="12" t="str">
        <x:v>일반</x:v>
      </x:c>
      <x:c r="D28" s="20" t="n">
        <x:v>1</x:v>
      </x:c>
      <x:c r="E28" s="20" t="n">
        <x:v>0</x:v>
      </x:c>
      <x:c r="F28" s="12"/>
      <x:c r="G28" s="12"/>
      <x:c r="H28" s="12" t="str">
        <x:v>둔화율</x:v>
      </x:c>
      <x:c r="I28" s="12" t="str">
        <x:v>질문 필요</x:v>
      </x:c>
      <x:c r="J28" s="12" t="str">
        <x:v>09 연구소 경제</x:v>
      </x:c>
      <x:c r="K28" s="12" t="str">
        <x:v>트랙 확장 시 토큰 반환</x:v>
      </x:c>
    </x:row>
    <x:row r="29" ht="15" hidden="0" customHeight="1">
      <x:c r="A29" s="12" t="n">
        <x:v>2401</x:v>
      </x:c>
      <x:c r="B29" s="12" t="str">
        <x:v>격리 깃발</x:v>
      </x:c>
      <x:c r="C29" s="12" t="str">
        <x:v>특수</x:v>
      </x:c>
      <x:c r="D29" s="20" t="n">
        <x:v>1</x:v>
      </x:c>
      <x:c r="E29" s="20" t="n">
        <x:v>0</x:v>
      </x:c>
      <x:c r="F29" s="12"/>
      <x:c r="G29" s="12"/>
      <x:c r="H29" s="12"/>
      <x:c r="I29" s="12" t="str">
        <x:v>보류</x:v>
      </x:c>
      <x:c r="J29" s="12" t="str">
        <x:v>09 연구소 경제</x:v>
      </x:c>
      <x:c r="K29" s="12" t="str">
        <x:v>기능 보류</x:v>
      </x:c>
    </x:row>
    <x:row r="30" ht="15" hidden="0" customHeight="1">
      <x:c r="A30" s="12" t="n">
        <x:v>2402</x:v>
      </x:c>
      <x:c r="B30" s="12" t="str">
        <x:v>나침반</x:v>
      </x:c>
      <x:c r="C30" s="12" t="str">
        <x:v>일반</x:v>
      </x:c>
      <x:c r="D30" s="20" t="n">
        <x:v>2</x:v>
      </x:c>
      <x:c r="E30" s="20" t="n">
        <x:v>0</x:v>
      </x:c>
      <x:c r="F30" s="12"/>
      <x:c r="G30" s="12"/>
      <x:c r="H30" s="12"/>
      <x:c r="I30" s="12" t="str">
        <x:v>질문 필요</x:v>
      </x:c>
      <x:c r="J30" s="12" t="str">
        <x:v>09 연구소 경제</x:v>
      </x:c>
      <x:c r="K30" s="12" t="str">
        <x:v>빌더 미니맵을 러너에게 공유</x:v>
      </x:c>
    </x:row>
    <x:row r="31" ht="15" hidden="0" customHeight="1">
      <x:c r="A31" s="12" t="n">
        <x:v>2403</x:v>
      </x:c>
      <x:c r="B31" s="12" t="str">
        <x:v>지도</x:v>
      </x:c>
      <x:c r="C31" s="12" t="str">
        <x:v>일반</x:v>
      </x:c>
      <x:c r="D31" s="20" t="n">
        <x:v>3</x:v>
      </x:c>
      <x:c r="E31" s="20" t="n">
        <x:v>1500</x:v>
      </x:c>
      <x:c r="F31" s="12" t="n">
        <x:v>1</x:v>
      </x:c>
      <x:c r="G31" s="20" t="n">
        <x:v>4</x:v>
      </x:c>
      <x:c r="H31" s="12" t="str">
        <x:v>방향 수</x:v>
      </x:c>
      <x:c r="I31" s="12" t="str">
        <x:v>확정</x:v>
      </x:c>
      <x:c r="J31" s="12" t="str">
        <x:v>09 연구소 경제</x:v>
      </x:c>
      <x:c r="K31" s="12" t="str">
        <x:v>가장 가까운 동/서/남/북</x:v>
      </x:c>
    </x:row>
    <x:row r="32" ht="15" hidden="0" customHeight="1">
      <x:c r="A32" s="12" t="n">
        <x:v>2404</x:v>
      </x:c>
      <x:c r="B32" s="12" t="str">
        <x:v>소울 메이트 뱃지</x:v>
      </x:c>
      <x:c r="C32" s="12" t="str">
        <x:v>특수</x:v>
      </x:c>
      <x:c r="D32" s="20" t="n">
        <x:v>5</x:v>
      </x:c>
      <x:c r="E32" s="20" t="n">
        <x:v>0</x:v>
      </x:c>
      <x:c r="F32" s="12"/>
      <x:c r="G32" s="21" t="n">
        <x:v>0.1</x:v>
      </x:c>
      <x:c r="H32" s="12" t="str">
        <x:v>타워 피해 비율</x:v>
      </x:c>
      <x:c r="I32" s="12" t="str">
        <x:v>질문 필요</x:v>
      </x:c>
      <x:c r="J32" s="12" t="str">
        <x:v>09 연구소 경제</x:v>
      </x:c>
      <x:c r="K32" s="12" t="str">
        <x:v>무기 피해 +20%</x:v>
      </x:c>
    </x:row>
  </x:sheetData>
  <x:mergeCells>
    <x:mergeCell ref="A1:K1"/>
    <x:mergeCell ref="A2:K2"/>
  </x:mergeCells>
  <x:conditionalFormatting sqref="J5:J6">
    <x:cfRule type="containsText" dxfId="15" priority="1" operator="containsText" text="확정"/>
    <x:cfRule type="containsText" dxfId="16" priority="2" operator="containsText" text="임시"/>
    <x:cfRule type="containsText" dxfId="17" priority="3" operator="containsText" text="질문 필요"/>
    <x:cfRule type="containsText" dxfId="18" priority="4" operator="containsText" text="추후 입력"/>
    <x:cfRule type="containsText" dxfId="19" priority="5" operator="containsText" text="보류"/>
  </x:conditionalFormatting>
  <x:conditionalFormatting sqref="J10:J23">
    <x:cfRule type="containsText" dxfId="20" priority="6" operator="containsText" text="확정"/>
    <x:cfRule type="containsText" dxfId="21" priority="7" operator="containsText" text="임시"/>
    <x:cfRule type="containsText" dxfId="22" priority="8" operator="containsText" text="질문 필요"/>
    <x:cfRule type="containsText" dxfId="23" priority="9" operator="containsText" text="추후 입력"/>
    <x:cfRule type="containsText" dxfId="24" priority="10" operator="containsText" text="보류"/>
  </x:conditionalFormatting>
  <x:conditionalFormatting sqref="I28:I32">
    <x:cfRule type="containsText" dxfId="25" priority="11" operator="containsText" text="확정"/>
    <x:cfRule type="containsText" dxfId="26" priority="12" operator="containsText" text="임시"/>
    <x:cfRule type="containsText" dxfId="27" priority="13" operator="containsText" text="질문 필요"/>
    <x:cfRule type="containsText" dxfId="28" priority="14" operator="containsText" text="추후 입력"/>
    <x:cfRule type="containsText" dxfId="29" priority="15" operator="containsText" text="보류"/>
  </x:conditionalFormatting>
  <x:dataValidations count="3">
    <x:dataValidation type="list" sqref="J5:J6">
      <x:formula1>"확정,임시,질문 필요,추후 입력,보류"</x:formula1>
    </x:dataValidation>
    <x:dataValidation type="list" sqref="J10:J23">
      <x:formula1>"확정,임시,질문 필요,추후 입력,보류"</x:formula1>
    </x:dataValidation>
    <x:dataValidation type="list" sqref="I28:I32">
      <x:formula1>"확정,임시,질문 필요,추후 입력,보류"</x:formula1>
    </x:dataValidation>
  </x:dataValidations>
  <x:pageMargins left="0.7" right="0.7" top="0.75" bottom="0.75" header="0.3" footer="0.3"/>
  <x:legacyDrawing xmlns:r="http://schemas.openxmlformats.org/officeDocument/2006/relationships" r:id="Rc0e76598ce784031"/>
  <x:tableParts count="3">
    <x:tablePart xmlns:r="http://schemas.openxmlformats.org/officeDocument/2006/relationships" r:id="Rfd102a1a04104f7b"/>
    <x:tablePart xmlns:r="http://schemas.openxmlformats.org/officeDocument/2006/relationships" r:id="R6134b4e3d9ad465b"/>
    <x:tablePart xmlns:r="http://schemas.openxmlformats.org/officeDocument/2006/relationships" r:id="Reaf6bae0a20b41c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28" hidden="0" customWidth="1"/>
    <x:col min="4" max="4" width="12" hidden="0" customWidth="1"/>
    <x:col min="5" max="5" width="14" hidden="0" customWidth="1"/>
    <x:col min="6" max="6" width="12" hidden="0" customWidth="1"/>
    <x:col min="7" max="7" width="16" hidden="0" customWidth="1"/>
    <x:col min="8" max="8" width="14" hidden="0" customWidth="1"/>
    <x:col min="9" max="9" width="18" hidden="0" customWidth="1"/>
    <x:col min="10" max="10" width="14" hidden="0" customWidth="1"/>
    <x:col min="11" max="11" width="16" hidden="0" customWidth="1"/>
    <x:col min="12" max="12" width="13" hidden="0" customWidth="1"/>
    <x:col min="13" max="13" width="13" hidden="0" customWidth="1"/>
    <x:col min="14" max="14" width="13" hidden="0" customWidth="1"/>
    <x:col min="15" max="15" width="14" hidden="0" customWidth="1"/>
  </x:cols>
  <x:sheetData>
    <x:row r="1" ht="19.200000762939453" hidden="0" customHeight="1">
      <x:c r="A1" s="3" t="str">
        <x:v>Tower — 타워 조정 데이터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15" hidden="0" customHeight="1">
      <x:c r="A2" s="7" t="str">
        <x:v>타워의 역할과 특수 판정은 08 타워 상세 기획을 기준으로 하며, 이 시트에서는 가격·제한·공격주기·재사용 시간을 관리합니다.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3"/>
    <x:row r="4" ht="15" hidden="0" customHeight="1">
      <x:c r="A4" s="14" t="str">
        <x:v>ID</x:v>
      </x:c>
      <x:c r="B4" s="14" t="str">
        <x:v>분류</x:v>
      </x:c>
      <x:c r="C4" s="14" t="str">
        <x:v>타워</x:v>
      </x:c>
      <x:c r="D4" s="14" t="str">
        <x:v>광물</x:v>
      </x:c>
      <x:c r="E4" s="14" t="str">
        <x:v>가스</x:v>
      </x:c>
      <x:c r="F4" s="14" t="str">
        <x:v>최대 수</x:v>
      </x:c>
      <x:c r="G4" s="14" t="str">
        <x:v>공격 간격</x:v>
      </x:c>
      <x:c r="H4" s="14" t="str">
        <x:v>투사체 속도</x:v>
      </x:c>
      <x:c r="I4" s="14" t="str">
        <x:v>판정</x:v>
      </x:c>
      <x:c r="J4" s="14" t="str">
        <x:v>사거리 순위</x:v>
      </x:c>
      <x:c r="K4" s="14" t="str">
        <x:v>범위</x:v>
      </x:c>
      <x:c r="L4" s="14" t="str">
        <x:v>재사용 1</x:v>
      </x:c>
      <x:c r="M4" s="14" t="str">
        <x:v>재사용 2</x:v>
      </x:c>
      <x:c r="N4" s="14" t="str">
        <x:v>재사용 3</x:v>
      </x:c>
      <x:c r="O4" s="14" t="str">
        <x:v>상태</x:v>
      </x:c>
    </x:row>
    <x:row r="5" ht="15" hidden="0" customHeight="1">
      <x:c r="A5" s="12" t="n">
        <x:v>3000</x:v>
      </x:c>
      <x:c r="B5" s="12" t="str">
        <x:v>센터</x:v>
      </x:c>
      <x:c r="C5" s="12" t="str">
        <x:v>펄스건</x:v>
      </x:c>
      <x:c r="D5" s="28" t="n">
        <x:v>500</x:v>
      </x:c>
      <x:c r="E5" s="28" t="n">
        <x:v>0</x:v>
      </x:c>
      <x:c r="F5" s="28" t="n">
        <x:v>3</x:v>
      </x:c>
      <x:c r="G5" s="30"/>
      <x:c r="H5" s="30"/>
      <x:c r="I5" s="12" t="str">
        <x:v>빔 3포대</x:v>
      </x:c>
      <x:c r="J5" s="12"/>
      <x:c r="K5" s="12" t="str">
        <x:v>단일</x:v>
      </x:c>
      <x:c r="L5" s="20"/>
      <x:c r="M5" s="20"/>
      <x:c r="N5" s="20"/>
      <x:c r="O5" s="12" t="str">
        <x:v>확정</x:v>
      </x:c>
    </x:row>
    <x:row r="6" ht="15" hidden="0" customHeight="1">
      <x:c r="A6" s="12" t="n">
        <x:v>3001</x:v>
      </x:c>
      <x:c r="B6" s="12" t="str">
        <x:v>센터</x:v>
      </x:c>
      <x:c r="C6" s="12" t="str">
        <x:v>화염</x:v>
      </x:c>
      <x:c r="D6" s="28" t="n">
        <x:v>500</x:v>
      </x:c>
      <x:c r="E6" s="28" t="n">
        <x:v>250</x:v>
      </x:c>
      <x:c r="F6" s="28" t="n">
        <x:v>3</x:v>
      </x:c>
      <x:c r="G6" s="30"/>
      <x:c r="H6" s="30"/>
      <x:c r="I6" s="12" t="str">
        <x:v>즉사</x:v>
      </x:c>
      <x:c r="J6" s="12"/>
      <x:c r="K6" s="12" t="str">
        <x:v>특수</x:v>
      </x:c>
      <x:c r="L6" s="20" t="n">
        <x:v>60</x:v>
      </x:c>
      <x:c r="M6" s="20" t="n">
        <x:v>50</x:v>
      </x:c>
      <x:c r="N6" s="20" t="n">
        <x:v>40</x:v>
      </x:c>
      <x:c r="O6" s="12" t="str">
        <x:v>질문 필요</x:v>
      </x:c>
    </x:row>
    <x:row r="7" ht="15" hidden="0" customHeight="1">
      <x:c r="A7" s="12" t="n">
        <x:v>3002</x:v>
      </x:c>
      <x:c r="B7" s="12" t="str">
        <x:v>센터</x:v>
      </x:c>
      <x:c r="C7" s="12" t="str">
        <x:v>전격</x:v>
      </x:c>
      <x:c r="D7" s="28" t="n">
        <x:v>375</x:v>
      </x:c>
      <x:c r="E7" s="28" t="n">
        <x:v>375</x:v>
      </x:c>
      <x:c r="F7" s="28" t="n">
        <x:v>3</x:v>
      </x:c>
      <x:c r="G7" s="30"/>
      <x:c r="H7" s="30"/>
      <x:c r="I7" s="12" t="str">
        <x:v>기절</x:v>
      </x:c>
      <x:c r="J7" s="12"/>
      <x:c r="K7" s="12" t="str">
        <x:v>특수</x:v>
      </x:c>
      <x:c r="L7" s="20" t="n">
        <x:v>45</x:v>
      </x:c>
      <x:c r="M7" s="20" t="n">
        <x:v>35</x:v>
      </x:c>
      <x:c r="N7" s="20" t="n">
        <x:v>25</x:v>
      </x:c>
      <x:c r="O7" s="12" t="str">
        <x:v>질문 필요</x:v>
      </x:c>
    </x:row>
    <x:row r="8" ht="15" hidden="0" customHeight="1">
      <x:c r="A8" s="12" t="n">
        <x:v>3003</x:v>
      </x:c>
      <x:c r="B8" s="12" t="str">
        <x:v>센터</x:v>
      </x:c>
      <x:c r="C8" s="12" t="str">
        <x:v>생화학</x:v>
      </x:c>
      <x:c r="D8" s="28" t="n">
        <x:v>250</x:v>
      </x:c>
      <x:c r="E8" s="28" t="n">
        <x:v>500</x:v>
      </x:c>
      <x:c r="F8" s="28" t="n">
        <x:v>3</x:v>
      </x:c>
      <x:c r="G8" s="30"/>
      <x:c r="H8" s="30"/>
      <x:c r="I8" s="12" t="str">
        <x:v>반전</x:v>
      </x:c>
      <x:c r="J8" s="12"/>
      <x:c r="K8" s="12" t="str">
        <x:v>특수</x:v>
      </x:c>
      <x:c r="L8" s="20" t="n">
        <x:v>30</x:v>
      </x:c>
      <x:c r="M8" s="20"/>
      <x:c r="N8" s="20"/>
      <x:c r="O8" s="12" t="str">
        <x:v>질문 필요</x:v>
      </x:c>
    </x:row>
    <x:row r="9" ht="15" hidden="0" customHeight="1">
      <x:c r="A9" s="12" t="n">
        <x:v>3005</x:v>
      </x:c>
      <x:c r="B9" s="12" t="str">
        <x:v>공격</x:v>
      </x:c>
      <x:c r="C9" s="12" t="str">
        <x:v>센트리건</x:v>
      </x:c>
      <x:c r="D9" s="28" t="n">
        <x:v>150</x:v>
      </x:c>
      <x:c r="E9" s="28" t="n">
        <x:v>0</x:v>
      </x:c>
      <x:c r="F9" s="28"/>
      <x:c r="G9" s="30" t="n">
        <x:v>0.4</x:v>
      </x:c>
      <x:c r="H9" s="30" t="n">
        <x:v>2</x:v>
      </x:c>
      <x:c r="I9" s="12" t="str">
        <x:v>단일</x:v>
      </x:c>
      <x:c r="J9" s="12" t="n">
        <x:v>3</x:v>
      </x:c>
      <x:c r="K9" s="12" t="str">
        <x:v>단일</x:v>
      </x:c>
      <x:c r="L9" s="20"/>
      <x:c r="M9" s="20"/>
      <x:c r="N9" s="20"/>
      <x:c r="O9" s="12" t="str">
        <x:v>확정</x:v>
      </x:c>
    </x:row>
    <x:row r="10" ht="15" hidden="0" customHeight="1">
      <x:c r="A10" s="12" t="n">
        <x:v>3006</x:v>
      </x:c>
      <x:c r="B10" s="12" t="str">
        <x:v>공격</x:v>
      </x:c>
      <x:c r="C10" s="12" t="str">
        <x:v>레일건</x:v>
      </x:c>
      <x:c r="D10" s="28" t="n">
        <x:v>150</x:v>
      </x:c>
      <x:c r="E10" s="28" t="n">
        <x:v>0</x:v>
      </x:c>
      <x:c r="F10" s="28"/>
      <x:c r="G10" s="30" t="n">
        <x:v>2.5</x:v>
      </x:c>
      <x:c r="H10" s="30"/>
      <x:c r="I10" s="12" t="str">
        <x:v>단일 즉발</x:v>
      </x:c>
      <x:c r="J10" s="12" t="n">
        <x:v>1</x:v>
      </x:c>
      <x:c r="K10" s="12" t="str">
        <x:v>단일</x:v>
      </x:c>
      <x:c r="L10" s="20"/>
      <x:c r="M10" s="20"/>
      <x:c r="N10" s="20"/>
      <x:c r="O10" s="12" t="str">
        <x:v>확정</x:v>
      </x:c>
    </x:row>
    <x:row r="11" ht="15" hidden="0" customHeight="1">
      <x:c r="A11" s="12" t="n">
        <x:v>3007</x:v>
      </x:c>
      <x:c r="B11" s="12" t="str">
        <x:v>공격</x:v>
      </x:c>
      <x:c r="C11" s="12" t="str">
        <x:v>미사일</x:v>
      </x:c>
      <x:c r="D11" s="28" t="n">
        <x:v>100</x:v>
      </x:c>
      <x:c r="E11" s="28" t="n">
        <x:v>50</x:v>
      </x:c>
      <x:c r="F11" s="28"/>
      <x:c r="G11" s="30" t="n">
        <x:v>1.5</x:v>
      </x:c>
      <x:c r="H11" s="30" t="n">
        <x:v>1</x:v>
      </x:c>
      <x:c r="I11" s="12" t="str">
        <x:v>범위</x:v>
      </x:c>
      <x:c r="J11" s="12" t="n">
        <x:v>2</x:v>
      </x:c>
      <x:c r="K11" s="12" t="str">
        <x:v>원형</x:v>
      </x:c>
      <x:c r="L11" s="20"/>
      <x:c r="M11" s="20"/>
      <x:c r="N11" s="20"/>
      <x:c r="O11" s="12" t="str">
        <x:v>확정</x:v>
      </x:c>
    </x:row>
    <x:row r="12" ht="15" hidden="0" customHeight="1">
      <x:c r="A12" s="12" t="n">
        <x:v>3008</x:v>
      </x:c>
      <x:c r="B12" s="12" t="str">
        <x:v>공격</x:v>
      </x:c>
      <x:c r="C12" s="12" t="str">
        <x:v>레이저</x:v>
      </x:c>
      <x:c r="D12" s="28" t="n">
        <x:v>100</x:v>
      </x:c>
      <x:c r="E12" s="28" t="n">
        <x:v>50</x:v>
      </x:c>
      <x:c r="F12" s="28"/>
      <x:c r="G12" s="30" t="n">
        <x:v>1</x:v>
      </x:c>
      <x:c r="H12" s="30" t="n">
        <x:v>3</x:v>
      </x:c>
      <x:c r="I12" s="12" t="str">
        <x:v>범위</x:v>
      </x:c>
      <x:c r="J12" s="12" t="n">
        <x:v>4</x:v>
      </x:c>
      <x:c r="K12" s="12" t="str">
        <x:v>직사각형</x:v>
      </x:c>
      <x:c r="L12" s="20"/>
      <x:c r="M12" s="20"/>
      <x:c r="N12" s="20"/>
      <x:c r="O12" s="12" t="str">
        <x:v>확정</x:v>
      </x:c>
    </x:row>
    <x:row r="13" ht="15" hidden="0" customHeight="1">
      <x:c r="A13" s="12" t="n">
        <x:v>3009</x:v>
      </x:c>
      <x:c r="B13" s="12" t="str">
        <x:v>공격</x:v>
      </x:c>
      <x:c r="C13" s="12" t="str">
        <x:v>블레이드</x:v>
      </x:c>
      <x:c r="D13" s="28" t="n">
        <x:v>150</x:v>
      </x:c>
      <x:c r="E13" s="28" t="n">
        <x:v>50</x:v>
      </x:c>
      <x:c r="F13" s="28"/>
      <x:c r="G13" s="30" t="n">
        <x:v>0.5</x:v>
      </x:c>
      <x:c r="H13" s="30"/>
      <x:c r="I13" s="12" t="str">
        <x:v>범위 즉발</x:v>
      </x:c>
      <x:c r="J13" s="12" t="n">
        <x:v>5</x:v>
      </x:c>
      <x:c r="K13" s="12" t="str">
        <x:v>반원</x:v>
      </x:c>
      <x:c r="L13" s="20"/>
      <x:c r="M13" s="20"/>
      <x:c r="N13" s="20"/>
      <x:c r="O13" s="12" t="str">
        <x:v>확정</x:v>
      </x:c>
    </x:row>
    <x:row r="14" ht="15" hidden="0" customHeight="1">
      <x:c r="A14" s="12" t="n">
        <x:v>3011</x:v>
      </x:c>
      <x:c r="B14" s="12" t="str">
        <x:v>지원</x:v>
      </x:c>
      <x:c r="C14" s="12" t="str">
        <x:v>유물 발굴</x:v>
      </x:c>
      <x:c r="D14" s="28" t="n">
        <x:v>50</x:v>
      </x:c>
      <x:c r="E14" s="28" t="n">
        <x:v>0</x:v>
      </x:c>
      <x:c r="F14" s="28"/>
      <x:c r="G14" s="30"/>
      <x:c r="H14" s="30"/>
      <x:c r="I14" s="12" t="str">
        <x:v>발굴</x:v>
      </x:c>
      <x:c r="J14" s="12"/>
      <x:c r="K14" s="12" t="str">
        <x:v>지점</x:v>
      </x:c>
      <x:c r="L14" s="20" t="n">
        <x:v>60</x:v>
      </x:c>
      <x:c r="M14" s="20"/>
      <x:c r="N14" s="20"/>
      <x:c r="O14" s="12" t="str">
        <x:v>확정</x:v>
      </x:c>
    </x:row>
    <x:row r="15" ht="15" hidden="0" customHeight="1">
      <x:c r="A15" s="12" t="n">
        <x:v>3012</x:v>
      </x:c>
      <x:c r="B15" s="12" t="str">
        <x:v>지원</x:v>
      </x:c>
      <x:c r="C15" s="12" t="str">
        <x:v>증폭</x:v>
      </x:c>
      <x:c r="D15" s="28" t="n">
        <x:v>200</x:v>
      </x:c>
      <x:c r="E15" s="28" t="n">
        <x:v>50</x:v>
      </x:c>
      <x:c r="F15" s="28"/>
      <x:c r="G15" s="30"/>
      <x:c r="H15" s="30"/>
      <x:c r="I15" s="12" t="str">
        <x:v>버프</x:v>
      </x:c>
      <x:c r="J15" s="12"/>
      <x:c r="K15" s="12" t="str">
        <x:v>원형</x:v>
      </x:c>
      <x:c r="L15" s="20" t="n">
        <x:v>90</x:v>
      </x:c>
      <x:c r="M15" s="20"/>
      <x:c r="N15" s="20"/>
      <x:c r="O15" s="12" t="str">
        <x:v>확정</x:v>
      </x:c>
    </x:row>
    <x:row r="16" ht="15" hidden="0" customHeight="1">
      <x:c r="A16" s="12" t="n">
        <x:v>3013</x:v>
      </x:c>
      <x:c r="B16" s="12" t="str">
        <x:v>지원</x:v>
      </x:c>
      <x:c r="C16" s="12" t="str">
        <x:v>재생</x:v>
      </x:c>
      <x:c r="D16" s="28" t="n">
        <x:v>50</x:v>
      </x:c>
      <x:c r="E16" s="28" t="n">
        <x:v>200</x:v>
      </x:c>
      <x:c r="F16" s="28" t="n">
        <x:v>1</x:v>
      </x:c>
      <x:c r="G16" s="30"/>
      <x:c r="H16" s="30"/>
      <x:c r="I16" s="12" t="str">
        <x:v>회복</x:v>
      </x:c>
      <x:c r="J16" s="12"/>
      <x:c r="K16" s="12" t="str">
        <x:v>원형</x:v>
      </x:c>
      <x:c r="L16" s="20"/>
      <x:c r="M16" s="20"/>
      <x:c r="N16" s="20"/>
      <x:c r="O16" s="12" t="str">
        <x:v>확정</x:v>
      </x:c>
    </x:row>
    <x:row r="17" ht="15" hidden="0" customHeight="1">
      <x:c r="A17" s="12" t="n">
        <x:v>3014</x:v>
      </x:c>
      <x:c r="B17" s="12" t="str">
        <x:v>지원</x:v>
      </x:c>
      <x:c r="C17" s="12" t="str">
        <x:v>보급</x:v>
      </x:c>
      <x:c r="D17" s="28" t="n">
        <x:v>0</x:v>
      </x:c>
      <x:c r="E17" s="28" t="n">
        <x:v>0</x:v>
      </x:c>
      <x:c r="F17" s="28"/>
      <x:c r="G17" s="30"/>
      <x:c r="H17" s="30"/>
      <x:c r="I17" s="12" t="str">
        <x:v>보급</x:v>
      </x:c>
      <x:c r="J17" s="12"/>
      <x:c r="K17" s="12" t="str">
        <x:v>상호작용</x:v>
      </x:c>
      <x:c r="L17" s="20"/>
      <x:c r="M17" s="20"/>
      <x:c r="N17" s="20"/>
      <x:c r="O17" s="12" t="str">
        <x:v>확정</x:v>
      </x:c>
    </x:row>
    <x:row r="18" ht="15" hidden="0" customHeight="1">
      <x:c r="A18" s="12" t="n">
        <x:v>3015</x:v>
      </x:c>
      <x:c r="B18" s="12" t="str">
        <x:v>지원</x:v>
      </x:c>
      <x:c r="C18" s="12" t="str">
        <x:v>순간이동</x:v>
      </x:c>
      <x:c r="D18" s="28" t="n">
        <x:v>250</x:v>
      </x:c>
      <x:c r="E18" s="28" t="n">
        <x:v>150</x:v>
      </x:c>
      <x:c r="F18" s="28" t="n">
        <x:v>2</x:v>
      </x:c>
      <x:c r="G18" s="30"/>
      <x:c r="H18" s="30"/>
      <x:c r="I18" s="12" t="str">
        <x:v>이동</x:v>
      </x:c>
      <x:c r="J18" s="12"/>
      <x:c r="K18" s="12" t="str">
        <x:v>2개 연결</x:v>
      </x:c>
      <x:c r="L18" s="20" t="n">
        <x:v>30</x:v>
      </x:c>
      <x:c r="M18" s="20"/>
      <x:c r="N18" s="20"/>
      <x:c r="O18" s="12" t="str">
        <x:v>확정</x:v>
      </x:c>
    </x:row>
    <x:row r="19"/>
    <x:row r="20"/>
    <x:row r="21"/>
    <x:row r="22" ht="15" hidden="0" customHeight="1">
      <x:c r="A22" s="23" t="str">
        <x:v>ID</x:v>
      </x:c>
      <x:c r="B22" s="23" t="str">
        <x:v>타워</x:v>
      </x:c>
      <x:c r="C22" s="23" t="str">
        <x:v>효과</x:v>
      </x:c>
      <x:c r="D22" s="23" t="str">
        <x:v>값</x:v>
      </x:c>
      <x:c r="E22" s="23" t="str">
        <x:v>단위</x:v>
      </x:c>
      <x:c r="F22" s="23" t="str">
        <x:v>보조값</x:v>
      </x:c>
      <x:c r="G22" s="23" t="str">
        <x:v>보조 단위</x:v>
      </x:c>
      <x:c r="H22" s="23" t="str">
        <x:v>상태</x:v>
      </x:c>
      <x:c r="I22" s="23" t="str">
        <x:v>기준 문서</x:v>
      </x:c>
      <x:c r="J22" s="23" t="str">
        <x:v>메모</x:v>
      </x:c>
    </x:row>
    <x:row r="23" ht="15" hidden="0" customHeight="1">
      <x:c r="A23" s="12" t="str">
        <x:v>TE001</x:v>
      </x:c>
      <x:c r="B23" s="12" t="str">
        <x:v>증폭</x:v>
      </x:c>
      <x:c r="C23" s="12" t="str">
        <x:v>범위 내 타워 공격속도 증가</x:v>
      </x:c>
      <x:c r="D23" s="21" t="n">
        <x:v>0.2</x:v>
      </x:c>
      <x:c r="E23" s="12" t="str">
        <x:v>비율</x:v>
      </x:c>
      <x:c r="F23" s="12"/>
      <x:c r="G23" s="12"/>
      <x:c r="H23" s="12" t="str">
        <x:v>확정</x:v>
      </x:c>
      <x:c r="I23" s="12" t="str">
        <x:v>08 타워 상세 기획</x:v>
      </x:c>
      <x:c r="J23" s="12" t="str">
        <x:v>중첩 불가</x:v>
      </x:c>
    </x:row>
    <x:row r="24" ht="15" hidden="0" customHeight="1">
      <x:c r="A24" s="12" t="str">
        <x:v>TE002</x:v>
      </x:c>
      <x:c r="B24" s="12" t="str">
        <x:v>증폭</x:v>
      </x:c>
      <x:c r="C24" s="12" t="str">
        <x:v>범위 내 러너 이동속도 증가</x:v>
      </x:c>
      <x:c r="D24" s="21" t="n">
        <x:v>0.1</x:v>
      </x:c>
      <x:c r="E24" s="12" t="str">
        <x:v>비율</x:v>
      </x:c>
      <x:c r="F24" s="12"/>
      <x:c r="G24" s="12"/>
      <x:c r="H24" s="12" t="str">
        <x:v>확정</x:v>
      </x:c>
      <x:c r="I24" s="12" t="str">
        <x:v>08 타워 상세 기획</x:v>
      </x:c>
      <x:c r="J24" s="12" t="str">
        <x:v>중첩 불가</x:v>
      </x:c>
    </x:row>
    <x:row r="25" ht="15" hidden="0" customHeight="1">
      <x:c r="A25" s="12" t="str">
        <x:v>TE003</x:v>
      </x:c>
      <x:c r="B25" s="12" t="str">
        <x:v>증폭</x:v>
      </x:c>
      <x:c r="C25" s="12" t="str">
        <x:v>범위 내 러너 무기 공격력 증가</x:v>
      </x:c>
      <x:c r="D25" s="21" t="n">
        <x:v>0.1</x:v>
      </x:c>
      <x:c r="E25" s="12" t="str">
        <x:v>비율</x:v>
      </x:c>
      <x:c r="F25" s="12"/>
      <x:c r="G25" s="12"/>
      <x:c r="H25" s="12" t="str">
        <x:v>확정</x:v>
      </x:c>
      <x:c r="I25" s="12" t="str">
        <x:v>08 타워 상세 기획</x:v>
      </x:c>
      <x:c r="J25" s="12" t="str">
        <x:v>중첩 불가</x:v>
      </x:c>
    </x:row>
    <x:row r="26" ht="15" hidden="0" customHeight="1">
      <x:c r="A26" s="12" t="str">
        <x:v>TE004</x:v>
      </x:c>
      <x:c r="B26" s="12" t="str">
        <x:v>증폭</x:v>
      </x:c>
      <x:c r="C26" s="12" t="str">
        <x:v>범위 이탈 후 유지시간</x:v>
      </x:c>
      <x:c r="D26" s="12" t="n">
        <x:v>90</x:v>
      </x:c>
      <x:c r="E26" s="12" t="str">
        <x:v>초</x:v>
      </x:c>
      <x:c r="F26" s="12"/>
      <x:c r="G26" s="12"/>
      <x:c r="H26" s="12" t="str">
        <x:v>확정</x:v>
      </x:c>
      <x:c r="I26" s="12" t="str">
        <x:v>08 타워 상세 기획</x:v>
      </x:c>
      <x:c r="J26" s="12" t="str"/>
    </x:row>
    <x:row r="27" ht="15" hidden="0" customHeight="1">
      <x:c r="A27" s="12" t="str">
        <x:v>TE005</x:v>
      </x:c>
      <x:c r="B27" s="12" t="str">
        <x:v>재생</x:v>
      </x:c>
      <x:c r="C27" s="12" t="str">
        <x:v>저장 회복량</x:v>
      </x:c>
      <x:c r="D27" s="12" t="n">
        <x:v>100</x:v>
      </x:c>
      <x:c r="E27" s="12" t="str">
        <x:v>HP</x:v>
      </x:c>
      <x:c r="F27" s="12"/>
      <x:c r="G27" s="12"/>
      <x:c r="H27" s="12" t="str">
        <x:v>확정</x:v>
      </x:c>
      <x:c r="I27" s="12" t="str">
        <x:v>08 타워 상세 기획</x:v>
      </x:c>
      <x:c r="J27" s="12" t="str"/>
    </x:row>
    <x:row r="28" ht="15" hidden="0" customHeight="1">
      <x:c r="A28" s="12" t="str">
        <x:v>TE006</x:v>
      </x:c>
      <x:c r="B28" s="12" t="str">
        <x:v>재생</x:v>
      </x:c>
      <x:c r="C28" s="12" t="str">
        <x:v>회당 회복량</x:v>
      </x:c>
      <x:c r="D28" s="12" t="n">
        <x:v>5</x:v>
      </x:c>
      <x:c r="E28" s="12" t="str">
        <x:v>HP</x:v>
      </x:c>
      <x:c r="F28" s="12" t="n">
        <x:v>1</x:v>
      </x:c>
      <x:c r="G28" s="12" t="str">
        <x:v>초 간격</x:v>
      </x:c>
      <x:c r="H28" s="12" t="str">
        <x:v>확정</x:v>
      </x:c>
      <x:c r="I28" s="12" t="str">
        <x:v>08 타워 상세 기획</x:v>
      </x:c>
      <x:c r="J28" s="12" t="str">
        <x:v>총 20회</x:v>
      </x:c>
    </x:row>
    <x:row r="29" ht="15" hidden="0" customHeight="1">
      <x:c r="A29" s="12" t="str">
        <x:v>TE007</x:v>
      </x:c>
      <x:c r="B29" s="12" t="str">
        <x:v>재생</x:v>
      </x:c>
      <x:c r="C29" s="12" t="str">
        <x:v>회복 횟수</x:v>
      </x:c>
      <x:c r="D29" s="12" t="n">
        <x:v>20</x:v>
      </x:c>
      <x:c r="E29" s="12" t="str">
        <x:v>회</x:v>
      </x:c>
      <x:c r="F29" s="12"/>
      <x:c r="G29" s="12"/>
      <x:c r="H29" s="12" t="str">
        <x:v>확정</x:v>
      </x:c>
      <x:c r="I29" s="12" t="str">
        <x:v>08 타워 상세 기획</x:v>
      </x:c>
      <x:c r="J29" s="12" t="str"/>
    </x:row>
    <x:row r="30" ht="15" hidden="0" customHeight="1">
      <x:c r="A30" s="12" t="str">
        <x:v>TE008</x:v>
      </x:c>
      <x:c r="B30" s="12" t="str">
        <x:v>재생</x:v>
      </x:c>
      <x:c r="C30" s="12" t="str">
        <x:v>첫 회복 보호막</x:v>
      </x:c>
      <x:c r="D30" s="12" t="n">
        <x:v>100</x:v>
      </x:c>
      <x:c r="E30" s="12" t="str">
        <x:v>HP</x:v>
      </x:c>
      <x:c r="F30" s="12" t="n">
        <x:v>1</x:v>
      </x:c>
      <x:c r="G30" s="12" t="str">
        <x:v>회</x:v>
      </x:c>
      <x:c r="H30" s="12" t="str">
        <x:v>확정</x:v>
      </x:c>
      <x:c r="I30" s="12" t="str">
        <x:v>08 타워 상세 기획</x:v>
      </x:c>
      <x:c r="J30" s="12" t="str"/>
    </x:row>
    <x:row r="31" ht="21.600000381469727" hidden="0" customHeight="1">
      <x:c r="A31" s="12" t="str">
        <x:v>TE009</x:v>
      </x:c>
      <x:c r="B31" s="12" t="str">
        <x:v>순간이동</x:v>
      </x:c>
      <x:c r="C31" s="12" t="str">
        <x:v>사용 대기시간</x:v>
      </x:c>
      <x:c r="D31" s="12" t="n">
        <x:v>2</x:v>
      </x:c>
      <x:c r="E31" s="12" t="str">
        <x:v>초</x:v>
      </x:c>
      <x:c r="F31" s="12"/>
      <x:c r="G31" s="12"/>
      <x:c r="H31" s="12" t="str">
        <x:v>확정</x:v>
      </x:c>
      <x:c r="I31" s="12" t="str">
        <x:v>08 타워 상세 기획</x:v>
      </x:c>
      <x:c r="J31" s="12" t="str">
        <x:v>양방향, 횟수 제한 없음</x:v>
      </x:c>
    </x:row>
  </x:sheetData>
  <x:mergeCells>
    <x:mergeCell ref="A1:O1"/>
    <x:mergeCell ref="A2:O2"/>
  </x:mergeCells>
  <x:conditionalFormatting sqref="O5:O18">
    <x:cfRule type="containsText" dxfId="30" priority="1" operator="containsText" text="확정"/>
    <x:cfRule type="containsText" dxfId="31" priority="2" operator="containsText" text="임시"/>
    <x:cfRule type="containsText" dxfId="32" priority="3" operator="containsText" text="질문 필요"/>
    <x:cfRule type="containsText" dxfId="33" priority="4" operator="containsText" text="추후 입력"/>
    <x:cfRule type="containsText" dxfId="34" priority="5" operator="containsText" text="보류"/>
  </x:conditionalFormatting>
  <x:conditionalFormatting sqref="H23:H31">
    <x:cfRule type="containsText" dxfId="35" priority="6" operator="containsText" text="확정"/>
    <x:cfRule type="containsText" dxfId="36" priority="7" operator="containsText" text="임시"/>
    <x:cfRule type="containsText" dxfId="37" priority="8" operator="containsText" text="질문 필요"/>
    <x:cfRule type="containsText" dxfId="38" priority="9" operator="containsText" text="추후 입력"/>
    <x:cfRule type="containsText" dxfId="39" priority="10" operator="containsText" text="보류"/>
  </x:conditionalFormatting>
  <x:dataValidations count="2">
    <x:dataValidation type="list" sqref="O5:O18">
      <x:formula1>"확정,임시,질문 필요,추후 입력,보류"</x:formula1>
    </x:dataValidation>
    <x:dataValidation type="list" sqref="H23:H31">
      <x:formula1>"확정,임시,질문 필요,추후 입력,보류"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6beeacfc912d4707"/>
    <x:tablePart xmlns:r="http://schemas.openxmlformats.org/officeDocument/2006/relationships" r:id="Rc96481a56b6742b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20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4" hidden="0" customWidth="1"/>
    <x:col min="10" max="10" width="38" hidden="0" customWidth="1"/>
  </x:cols>
  <x:sheetData>
    <x:row r="1" ht="19.200000762939453" hidden="0" customHeight="1">
      <x:c r="A1" s="3" t="str">
        <x:v>Attribute — 속성 확률과 보너스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15" hidden="0" customHeight="1">
      <x:c r="A2" s="7" t="str">
        <x:v>확률 합계는 100%가 되어야 합니다. 센터 보너스 재분배와 3개 묶음 피해 보너스는 질문 답변 후 수식화합니다.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/>
    <x:row r="4" ht="15" hidden="0" customHeight="1">
      <x:c r="A4" s="14" t="str">
        <x:v>ID</x:v>
      </x:c>
      <x:c r="B4" s="14" t="str">
        <x:v>대상</x:v>
      </x:c>
      <x:c r="C4" s="14" t="str">
        <x:v>조건</x:v>
      </x:c>
      <x:c r="D4" s="14" t="str">
        <x:v>화염</x:v>
      </x:c>
      <x:c r="E4" s="14" t="str">
        <x:v>전격</x:v>
      </x:c>
      <x:c r="F4" s="14" t="str">
        <x:v>생화학</x:v>
      </x:c>
      <x:c r="G4" s="14" t="str">
        <x:v>빙결</x:v>
      </x:c>
      <x:c r="H4" s="14" t="str">
        <x:v>합계</x:v>
      </x:c>
      <x:c r="I4" s="14" t="str">
        <x:v>상태</x:v>
      </x:c>
      <x:c r="J4" s="14" t="str">
        <x:v>메모</x:v>
      </x:c>
    </x:row>
    <x:row r="5" ht="15" hidden="0" customHeight="1">
      <x:c r="A5" s="12" t="str">
        <x:v>AT001</x:v>
      </x:c>
      <x:c r="B5" s="12" t="str">
        <x:v>일반 공격 타워</x:v>
      </x:c>
      <x:c r="C5" s="12" t="str">
        <x:v>기본</x:v>
      </x:c>
      <x:c r="D5" s="21" t="n">
        <x:v>0.333</x:v>
      </x:c>
      <x:c r="E5" s="21" t="n">
        <x:v>0.333</x:v>
      </x:c>
      <x:c r="F5" s="21" t="n">
        <x:v>0.334</x:v>
      </x:c>
      <x:c r="G5" s="21" t="n">
        <x:v>0</x:v>
      </x:c>
      <x:c r="H5" s="21" t="n">
        <x:f>SUM(D5:G5)</x:f>
        <x:v>1</x:v>
      </x:c>
      <x:c r="I5" s="12" t="str">
        <x:v>확정</x:v>
      </x:c>
      <x:c r="J5" s="12" t="str">
        <x:v>표시상 각 33.3%</x:v>
      </x:c>
    </x:row>
    <x:row r="6" ht="15" hidden="0" customHeight="1">
      <x:c r="A6" s="12" t="str">
        <x:v>AT002</x:v>
      </x:c>
      <x:c r="B6" s="12" t="str">
        <x:v>블레이드</x:v>
      </x:c>
      <x:c r="C6" s="12" t="str">
        <x:v>기본</x:v>
      </x:c>
      <x:c r="D6" s="21" t="n">
        <x:v>0.3</x:v>
      </x:c>
      <x:c r="E6" s="21" t="n">
        <x:v>0.3</x:v>
      </x:c>
      <x:c r="F6" s="21" t="n">
        <x:v>0.3</x:v>
      </x:c>
      <x:c r="G6" s="21" t="n">
        <x:v>0.1</x:v>
      </x:c>
      <x:c r="H6" s="21" t="n">
        <x:f>SUM(D6:G6)</x:f>
        <x:v>0.9999999999999999</x:v>
      </x:c>
      <x:c r="I6" s="12" t="str">
        <x:v>확정</x:v>
      </x:c>
      <x:c r="J6" s="12" t="str"/>
    </x:row>
    <x:row r="7" ht="15" hidden="0" customHeight="1">
      <x:c r="A7" s="12" t="str">
        <x:v>AT003</x:v>
      </x:c>
      <x:c r="B7" s="12" t="str">
        <x:v>블레이드</x:v>
      </x:c>
      <x:c r="C7" s="12" t="str">
        <x:v>냉전 보유</x:v>
      </x:c>
      <x:c r="D7" s="21" t="n">
        <x:v>0.25</x:v>
      </x:c>
      <x:c r="E7" s="21" t="n">
        <x:v>0.25</x:v>
      </x:c>
      <x:c r="F7" s="21" t="n">
        <x:v>0.25</x:v>
      </x:c>
      <x:c r="G7" s="21" t="n">
        <x:v>0.25</x:v>
      </x:c>
      <x:c r="H7" s="21" t="n">
        <x:f>SUM(D7:G7)</x:f>
        <x:v>1</x:v>
      </x:c>
      <x:c r="I7" s="12" t="str">
        <x:v>확정</x:v>
      </x:c>
      <x:c r="J7" s="12" t="str"/>
    </x:row>
    <x:row r="8"/>
    <x:row r="9"/>
    <x:row r="10"/>
    <x:row r="11" ht="15" hidden="0" customHeight="1">
      <x:c r="A11" s="23" t="str">
        <x:v>ID</x:v>
      </x:c>
      <x:c r="B11" s="23" t="str">
        <x:v>규칙</x:v>
      </x:c>
      <x:c r="C11" s="23" t="str">
        <x:v>값</x:v>
      </x:c>
      <x:c r="D11" s="23" t="str">
        <x:v>단위</x:v>
      </x:c>
      <x:c r="E11" s="23" t="str">
        <x:v>적용 대상</x:v>
      </x:c>
      <x:c r="F11" s="23" t="str">
        <x:v>상태</x:v>
      </x:c>
      <x:c r="G11" s="23" t="str">
        <x:v>기준 문서</x:v>
      </x:c>
      <x:c r="H11" s="23" t="str">
        <x:v>메모</x:v>
      </x:c>
    </x:row>
    <x:row r="12" ht="21.600000381469727" hidden="0" customHeight="1">
      <x:c r="A12" s="12" t="str">
        <x:v>AT101</x:v>
      </x:c>
      <x:c r="B12" s="12" t="str">
        <x:v>속성 센터 대상 확률 증가</x:v>
      </x:c>
      <x:c r="C12" s="21" t="n">
        <x:v>0.1</x:v>
      </x:c>
      <x:c r="D12" s="12" t="str">
        <x:v>%p</x:v>
      </x:c>
      <x:c r="E12" s="12" t="str">
        <x:v>선택 속성</x:v>
      </x:c>
      <x:c r="F12" s="12" t="str">
        <x:v>질문 필요</x:v>
      </x:c>
      <x:c r="G12" s="12" t="str">
        <x:v>08 타워 상세 기획</x:v>
      </x:c>
      <x:c r="H12" s="12" t="str">
        <x:v>나머지 확률 재분배 방식 질문</x:v>
      </x:c>
    </x:row>
    <x:row r="13" ht="21.600000381469727" hidden="0" customHeight="1">
      <x:c r="A13" s="12" t="str">
        <x:v>AT102</x:v>
      </x:c>
      <x:c r="B13" s="12" t="str">
        <x:v>같은 속성 3개 묶음 피해 증가</x:v>
      </x:c>
      <x:c r="C13" s="21" t="n">
        <x:v>0.1</x:v>
      </x:c>
      <x:c r="D13" s="12" t="str">
        <x:v>비율</x:v>
      </x:c>
      <x:c r="E13" s="12" t="str">
        <x:v>모든 타워</x:v>
      </x:c>
      <x:c r="F13" s="12" t="str">
        <x:v>질문 필요</x:v>
      </x:c>
      <x:c r="G13" s="12" t="str">
        <x:v>08 타워 상세 기획</x:v>
      </x:c>
      <x:c r="H13" s="12" t="str">
        <x:v>속성별 묶음 합산·상한 질문</x:v>
      </x:c>
    </x:row>
    <x:row r="14" ht="21.600000381469727" hidden="0" customHeight="1">
      <x:c r="A14" s="12" t="str">
        <x:v>AT103</x:v>
      </x:c>
      <x:c r="B14" s="12" t="str">
        <x:v>화염</x:v>
      </x:c>
      <x:c r="C14" s="21"/>
      <x:c r="D14" s="12"/>
      <x:c r="E14" s="12" t="str">
        <x:v>지속 피해</x:v>
      </x:c>
      <x:c r="F14" s="12" t="str">
        <x:v>추후 입력</x:v>
      </x:c>
      <x:c r="G14" s="12" t="str">
        <x:v>08 타워 상세 기획</x:v>
      </x:c>
      <x:c r="H14" s="12" t="str">
        <x:v>피해량·주기</x:v>
      </x:c>
    </x:row>
    <x:row r="15" ht="21.600000381469727" hidden="0" customHeight="1">
      <x:c r="A15" s="12" t="str">
        <x:v>AT104</x:v>
      </x:c>
      <x:c r="B15" s="12" t="str">
        <x:v>전격</x:v>
      </x:c>
      <x:c r="C15" s="21"/>
      <x:c r="D15" s="12"/>
      <x:c r="E15" s="12" t="str">
        <x:v>이동속도 감소</x:v>
      </x:c>
      <x:c r="F15" s="12" t="str">
        <x:v>추후 입력</x:v>
      </x:c>
      <x:c r="G15" s="12" t="str">
        <x:v>08 타워 상세 기획</x:v>
      </x:c>
      <x:c r="H15" s="12" t="str">
        <x:v>감속률·지속</x:v>
      </x:c>
    </x:row>
    <x:row r="16" ht="21.600000381469727" hidden="0" customHeight="1">
      <x:c r="A16" s="12" t="str">
        <x:v>AT105</x:v>
      </x:c>
      <x:c r="B16" s="12" t="str">
        <x:v>생화학</x:v>
      </x:c>
      <x:c r="C16" s="21"/>
      <x:c r="D16" s="12"/>
      <x:c r="E16" s="12" t="str">
        <x:v>주변 확산 피해</x:v>
      </x:c>
      <x:c r="F16" s="12" t="str">
        <x:v>추후 입력</x:v>
      </x:c>
      <x:c r="G16" s="12" t="str">
        <x:v>08 타워 상세 기획</x:v>
      </x:c>
      <x:c r="H16" s="12" t="str">
        <x:v>피해 비율·범위</x:v>
      </x:c>
    </x:row>
  </x:sheetData>
  <x:mergeCells>
    <x:mergeCell ref="A1:J1"/>
    <x:mergeCell ref="A2:J2"/>
  </x:mergeCells>
  <x:conditionalFormatting sqref="I5:I7">
    <x:cfRule type="containsText" dxfId="40" priority="1" operator="containsText" text="확정"/>
    <x:cfRule type="containsText" dxfId="41" priority="2" operator="containsText" text="임시"/>
    <x:cfRule type="containsText" dxfId="42" priority="3" operator="containsText" text="질문 필요"/>
    <x:cfRule type="containsText" dxfId="43" priority="4" operator="containsText" text="추후 입력"/>
    <x:cfRule type="containsText" dxfId="44" priority="5" operator="containsText" text="보류"/>
  </x:conditionalFormatting>
  <x:conditionalFormatting sqref="F12:F16">
    <x:cfRule type="containsText" dxfId="45" priority="6" operator="containsText" text="확정"/>
    <x:cfRule type="containsText" dxfId="46" priority="7" operator="containsText" text="임시"/>
    <x:cfRule type="containsText" dxfId="47" priority="8" operator="containsText" text="질문 필요"/>
    <x:cfRule type="containsText" dxfId="48" priority="9" operator="containsText" text="추후 입력"/>
    <x:cfRule type="containsText" dxfId="49" priority="10" operator="containsText" text="보류"/>
  </x:conditionalFormatting>
  <x:dataValidations count="2">
    <x:dataValidation type="list" sqref="I5:I7">
      <x:formula1>"확정,임시,질문 필요,추후 입력,보류"</x:formula1>
    </x:dataValidation>
    <x:dataValidation type="list" sqref="F12:F16">
      <x:formula1>"확정,임시,질문 필요,추후 입력,보류"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e6dd34c426c54705"/>
    <x:tablePart xmlns:r="http://schemas.openxmlformats.org/officeDocument/2006/relationships" r:id="R7087d3b3fb5b497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10" hidden="0" customWidth="1"/>
    <x:col min="4" max="4" width="10" hidden="0" customWidth="1"/>
    <x:col min="5" max="5" width="14" hidden="0" customWidth="1"/>
    <x:col min="6" max="6" width="14" hidden="0" customWidth="1"/>
    <x:col min="7" max="7" width="18" hidden="0" customWidth="1"/>
    <x:col min="8" max="8" width="22" hidden="0" customWidth="1"/>
    <x:col min="9" max="9" width="14" hidden="0" customWidth="1"/>
    <x:col min="10" max="10" width="14" hidden="0" customWidth="1"/>
    <x:col min="11" max="11" width="18" hidden="0" customWidth="1"/>
    <x:col min="12" max="12" width="14" hidden="0" customWidth="1"/>
    <x:col min="13" max="13" width="32" hidden="0" customWidth="1"/>
  </x:cols>
  <x:sheetData>
    <x:row r="1" ht="19.200000762939453" hidden="0" customHeight="1">
      <x:c r="A1" s="3" t="str">
        <x:v>Item — 소모품 데이터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15" hidden="0" customHeight="1">
      <x:c r="A2" s="7" t="str">
        <x:v>아이템의 전체 행동은 10 아이템 기획을 기준으로 합니다. 보급품 총 한도는 10개이며 한도 도달 시 구매를 막습니다.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3"/>
    <x:row r="4" ht="15" hidden="0" customHeight="1">
      <x:c r="A4" s="14" t="str">
        <x:v>ID</x:v>
      </x:c>
      <x:c r="B4" s="14" t="str">
        <x:v>아이템</x:v>
      </x:c>
      <x:c r="C4" s="14" t="str">
        <x:v>광물</x:v>
      </x:c>
      <x:c r="D4" s="14" t="str">
        <x:v>가스</x:v>
      </x:c>
      <x:c r="E4" s="14" t="str">
        <x:v>지속시간</x:v>
      </x:c>
      <x:c r="F4" s="14" t="str">
        <x:v>최대 소지</x:v>
      </x:c>
      <x:c r="G4" s="14" t="str">
        <x:v>해금 조건</x:v>
      </x:c>
      <x:c r="H4" s="14" t="str">
        <x:v>범위</x:v>
      </x:c>
      <x:c r="I4" s="14" t="str">
        <x:v>피해 수치</x:v>
      </x:c>
      <x:c r="J4" s="14" t="str">
        <x:v>효과 주기</x:v>
      </x:c>
      <x:c r="K4" s="14" t="str">
        <x:v>주파력 상한 제거</x:v>
      </x:c>
      <x:c r="L4" s="14" t="str">
        <x:v>상태</x:v>
      </x:c>
      <x:c r="M4" s="14" t="str">
        <x:v>메모</x:v>
      </x:c>
    </x:row>
    <x:row r="5" ht="15" hidden="0" customHeight="1">
      <x:c r="A5" s="12" t="n">
        <x:v>7000</x:v>
      </x:c>
      <x:c r="B5" s="12" t="str">
        <x:v>생명선</x:v>
      </x:c>
      <x:c r="C5" s="28" t="n">
        <x:v>30</x:v>
      </x:c>
      <x:c r="D5" s="28" t="n">
        <x:v>0</x:v>
      </x:c>
      <x:c r="E5" s="28"/>
      <x:c r="F5" s="28" t="n">
        <x:v>3</x:v>
      </x:c>
      <x:c r="G5" s="12" t="str">
        <x:v>없음</x:v>
      </x:c>
      <x:c r="H5" s="12"/>
      <x:c r="I5" s="21"/>
      <x:c r="J5" s="25"/>
      <x:c r="K5" s="19" t="b">
        <x:v>0</x:v>
      </x:c>
      <x:c r="L5" s="12" t="str">
        <x:v>확정</x:v>
      </x:c>
      <x:c r="M5" s="12" t="str">
        <x:v>게임 시작 1개</x:v>
      </x:c>
    </x:row>
    <x:row r="6" ht="15" hidden="0" customHeight="1">
      <x:c r="A6" s="12" t="n">
        <x:v>7001</x:v>
      </x:c>
      <x:c r="B6" s="12" t="str">
        <x:v>방벽</x:v>
      </x:c>
      <x:c r="C6" s="28" t="n">
        <x:v>30</x:v>
      </x:c>
      <x:c r="D6" s="28" t="n">
        <x:v>0</x:v>
      </x:c>
      <x:c r="E6" s="28" t="n">
        <x:v>2</x:v>
      </x:c>
      <x:c r="F6" s="28" t="n">
        <x:v>3</x:v>
      </x:c>
      <x:c r="G6" s="12" t="str">
        <x:v>없음</x:v>
      </x:c>
      <x:c r="H6" s="12" t="str">
        <x:v>초당 3타일 확장</x:v>
      </x:c>
      <x:c r="I6" s="21"/>
      <x:c r="J6" s="25"/>
      <x:c r="K6" s="19" t="b">
        <x:v>0</x:v>
      </x:c>
      <x:c r="L6" s="12" t="str">
        <x:v>확정</x:v>
      </x:c>
      <x:c r="M6" s="12" t="str">
        <x:v>투사체 파괴</x:v>
      </x:c>
    </x:row>
    <x:row r="7" ht="15" hidden="0" customHeight="1">
      <x:c r="A7" s="12" t="n">
        <x:v>7002</x:v>
      </x:c>
      <x:c r="B7" s="12" t="str">
        <x:v>소각기</x:v>
      </x:c>
      <x:c r="C7" s="28" t="n">
        <x:v>30</x:v>
      </x:c>
      <x:c r="D7" s="28" t="n">
        <x:v>20</x:v>
      </x:c>
      <x:c r="E7" s="28" t="n">
        <x:v>10</x:v>
      </x:c>
      <x:c r="F7" s="28" t="n">
        <x:v>1</x:v>
      </x:c>
      <x:c r="G7" s="12" t="str">
        <x:v>화염 센터</x:v>
      </x:c>
      <x:c r="H7" s="12" t="str">
        <x:v>가까운 적</x:v>
      </x:c>
      <x:c r="I7" s="21"/>
      <x:c r="J7" s="25"/>
      <x:c r="K7" s="19" t="b">
        <x:v>0</x:v>
      </x:c>
      <x:c r="L7" s="12" t="str">
        <x:v>추후 입력</x:v>
      </x:c>
      <x:c r="M7" s="12" t="str">
        <x:v>드론 자동 공격</x:v>
      </x:c>
    </x:row>
    <x:row r="8" ht="15" hidden="0" customHeight="1">
      <x:c r="A8" s="12" t="n">
        <x:v>7003</x:v>
      </x:c>
      <x:c r="B8" s="12" t="str">
        <x:v>전류탄</x:v>
      </x:c>
      <x:c r="C8" s="28" t="n">
        <x:v>50</x:v>
      </x:c>
      <x:c r="D8" s="28" t="n">
        <x:v>0</x:v>
      </x:c>
      <x:c r="E8" s="28" t="n">
        <x:v>2</x:v>
      </x:c>
      <x:c r="F8" s="28" t="n">
        <x:v>3</x:v>
      </x:c>
      <x:c r="G8" s="12" t="str">
        <x:v>전격 센터</x:v>
      </x:c>
      <x:c r="H8" s="12" t="str">
        <x:v>지름 2타일</x:v>
      </x:c>
      <x:c r="I8" s="21"/>
      <x:c r="J8" s="25"/>
      <x:c r="K8" s="19" t="b">
        <x:v>0</x:v>
      </x:c>
      <x:c r="L8" s="12" t="str">
        <x:v>확정</x:v>
      </x:c>
      <x:c r="M8" s="12" t="str">
        <x:v>투사체 속도 초당 5타일</x:v>
      </x:c>
    </x:row>
    <x:row r="9" ht="15" hidden="0" customHeight="1">
      <x:c r="A9" s="12" t="n">
        <x:v>7004</x:v>
      </x:c>
      <x:c r="B9" s="12" t="str">
        <x:v>생분해 장치</x:v>
      </x:c>
      <x:c r="C9" s="28" t="n">
        <x:v>0</x:v>
      </x:c>
      <x:c r="D9" s="28" t="n">
        <x:v>60</x:v>
      </x:c>
      <x:c r="E9" s="28" t="n">
        <x:v>30</x:v>
      </x:c>
      <x:c r="F9" s="28" t="n">
        <x:v>2</x:v>
      </x:c>
      <x:c r="G9" s="12" t="str">
        <x:v>생화학 센터</x:v>
      </x:c>
      <x:c r="H9" s="12" t="str">
        <x:v>모든 활성 사선</x:v>
      </x:c>
      <x:c r="I9" s="21" t="n">
        <x:v>0.035</x:v>
      </x:c>
      <x:c r="J9" s="25" t="n">
        <x:v>0.5</x:v>
      </x:c>
      <x:c r="K9" s="19" t="b">
        <x:v>1</x:v>
      </x:c>
      <x:c r="L9" s="12" t="str">
        <x:v>확정</x:v>
      </x:c>
      <x:c r="M9" s="12" t="str">
        <x:v>대상 최대 체력 비율 피해</x:v>
      </x:c>
    </x:row>
  </x:sheetData>
  <x:mergeCells>
    <x:mergeCell ref="A1:M1"/>
    <x:mergeCell ref="A2:M2"/>
  </x:mergeCells>
  <x:conditionalFormatting sqref="L5:L9">
    <x:cfRule type="containsText" dxfId="50" priority="1" operator="containsText" text="확정"/>
    <x:cfRule type="containsText" dxfId="51" priority="2" operator="containsText" text="임시"/>
    <x:cfRule type="containsText" dxfId="52" priority="3" operator="containsText" text="질문 필요"/>
    <x:cfRule type="containsText" dxfId="53" priority="4" operator="containsText" text="추후 입력"/>
    <x:cfRule type="containsText" dxfId="54" priority="5" operator="containsText" text="보류"/>
  </x:conditionalFormatting>
  <x:dataValidations count="1">
    <x:dataValidation type="list" sqref="L5:L9">
      <x:formula1>"확정,임시,질문 필요,추후 입력,보류"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195a21eb36a4b9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11" hidden="0" customWidth="1"/>
    <x:col min="7" max="7" width="14" hidden="0" customWidth="1"/>
    <x:col min="8" max="8" width="18" hidden="0" customWidth="1"/>
    <x:col min="9" max="9" width="14" hidden="0" customWidth="1"/>
    <x:col min="10" max="10" width="36" hidden="0" customWidth="1"/>
  </x:cols>
  <x:sheetData>
    <x:row r="1" ht="19.200000762939453" hidden="0" customHeight="1">
      <x:c r="A1" s="3" t="str">
        <x:v>Skill — 러너 스킬 데이터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15" hidden="0" customHeight="1">
      <x:c r="A2" s="7" t="str">
        <x:v>스킬은 세 종류로 확정하며 러너는 한 종류만 장착합니다. 지속형 스킬은 지속 종료 뒤부터 재사용 시간을 계산합니다.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/>
    <x:row r="4" ht="15" hidden="0" customHeight="1">
      <x:c r="A4" s="14" t="str">
        <x:v>ID</x:v>
      </x:c>
      <x:c r="B4" s="14" t="str">
        <x:v>스킬</x:v>
      </x:c>
      <x:c r="C4" s="14" t="str">
        <x:v>기력 비용</x:v>
      </x:c>
      <x:c r="D4" s="14" t="str">
        <x:v>지속시간</x:v>
      </x:c>
      <x:c r="E4" s="14" t="str">
        <x:v>재사용</x:v>
      </x:c>
      <x:c r="F4" s="14" t="str">
        <x:v>무적</x:v>
      </x:c>
      <x:c r="G4" s="14" t="str">
        <x:v>사선 무적</x:v>
      </x:c>
      <x:c r="H4" s="14" t="str">
        <x:v>공격·장전 증가</x:v>
      </x:c>
      <x:c r="I4" s="14" t="str">
        <x:v>상태</x:v>
      </x:c>
      <x:c r="J4" s="14" t="str">
        <x:v>메모</x:v>
      </x:c>
    </x:row>
    <x:row r="5" ht="15" hidden="0" customHeight="1">
      <x:c r="A5" s="12" t="n">
        <x:v>7100</x:v>
      </x:c>
      <x:c r="B5" s="12" t="str">
        <x:v>공중제비</x:v>
      </x:c>
      <x:c r="C5" s="20" t="n">
        <x:v>35</x:v>
      </x:c>
      <x:c r="D5" s="20" t="n">
        <x:v>1</x:v>
      </x:c>
      <x:c r="E5" s="20" t="n">
        <x:v>5</x:v>
      </x:c>
      <x:c r="F5" s="19" t="b">
        <x:v>1</x:v>
      </x:c>
      <x:c r="G5" s="19" t="b">
        <x:v>1</x:v>
      </x:c>
      <x:c r="H5" s="21" t="n">
        <x:v>0</x:v>
      </x:c>
      <x:c r="I5" s="12" t="str">
        <x:v>확정</x:v>
      </x:c>
      <x:c r="J5" s="12" t="str">
        <x:v>시전 속도 유지, 바라보는 방향</x:v>
      </x:c>
    </x:row>
    <x:row r="6" ht="15" hidden="0" customHeight="1">
      <x:c r="A6" s="12" t="n">
        <x:v>7101</x:v>
      </x:c>
      <x:c r="B6" s="12" t="str">
        <x:v>유체이탈</x:v>
      </x:c>
      <x:c r="C6" s="20" t="n">
        <x:v>35</x:v>
      </x:c>
      <x:c r="D6" s="20" t="n">
        <x:v>15</x:v>
      </x:c>
      <x:c r="E6" s="20" t="n">
        <x:v>10</x:v>
      </x:c>
      <x:c r="F6" s="19" t="b">
        <x:v>0</x:v>
      </x:c>
      <x:c r="G6" s="19" t="b">
        <x:v>1</x:v>
      </x:c>
      <x:c r="H6" s="21" t="n">
        <x:v>0</x:v>
      </x:c>
      <x:c r="I6" s="12" t="str">
        <x:v>확정</x:v>
      </x:c>
      <x:c r="J6" s="12" t="str">
        <x:v>재시전 순간이동</x:v>
      </x:c>
    </x:row>
    <x:row r="7" ht="15" hidden="0" customHeight="1">
      <x:c r="A7" s="12" t="n">
        <x:v>7102</x:v>
      </x:c>
      <x:c r="B7" s="12" t="str">
        <x:v>신속태세</x:v>
      </x:c>
      <x:c r="C7" s="20" t="n">
        <x:v>35</x:v>
      </x:c>
      <x:c r="D7" s="20" t="n">
        <x:v>8</x:v>
      </x:c>
      <x:c r="E7" s="20" t="n">
        <x:v>15</x:v>
      </x:c>
      <x:c r="F7" s="19" t="b">
        <x:v>0</x:v>
      </x:c>
      <x:c r="G7" s="19" t="b">
        <x:v>0</x:v>
      </x:c>
      <x:c r="H7" s="21" t="n">
        <x:v>0.35</x:v>
      </x:c>
      <x:c r="I7" s="12" t="str">
        <x:v>확정</x:v>
      </x:c>
      <x:c r="J7" s="12" t="str">
        <x:v>기력 없는 슬라이드 3회</x:v>
      </x:c>
    </x:row>
  </x:sheetData>
  <x:mergeCells>
    <x:mergeCell ref="A1:J1"/>
    <x:mergeCell ref="A2:J2"/>
  </x:mergeCells>
  <x:conditionalFormatting sqref="I5:I7">
    <x:cfRule type="containsText" dxfId="55" priority="1" operator="containsText" text="확정"/>
    <x:cfRule type="containsText" dxfId="56" priority="2" operator="containsText" text="임시"/>
    <x:cfRule type="containsText" dxfId="57" priority="3" operator="containsText" text="질문 필요"/>
    <x:cfRule type="containsText" dxfId="58" priority="4" operator="containsText" text="추후 입력"/>
    <x:cfRule type="containsText" dxfId="59" priority="5" operator="containsText" text="보류"/>
  </x:conditionalFormatting>
  <x:dataValidations count="1">
    <x:dataValidation type="list" sqref="I5:I7">
      <x:formula1>"확정,임시,질문 필요,추후 입력,보류"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757dcae7fa3451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10" hidden="0" customWidth="1"/>
    <x:col min="4" max="4" width="10" hidden="0" customWidth="1"/>
    <x:col min="5" max="5" width="14" hidden="0" customWidth="1"/>
    <x:col min="6" max="6" width="14" hidden="0" customWidth="1"/>
    <x:col min="7" max="7" width="10" hidden="0" customWidth="1"/>
    <x:col min="8" max="8" width="14" hidden="0" customWidth="1"/>
    <x:col min="9" max="9" width="12" hidden="0" customWidth="1"/>
    <x:col min="10" max="10" width="12" hidden="0" customWidth="1"/>
    <x:col min="11" max="11" width="1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 ht="19.200000762939453" hidden="0" customHeight="1">
      <x:c r="A1" s="3" t="str">
        <x:v>Weapon — 무기 밸런스 입력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15" hidden="0" customHeight="1">
      <x:c r="A2" s="7" t="str">
        <x:v>무기는 해금 조건 없이 구매 목록에 등장합니다. 빈 수치 셀은 방향이 없는 것이 아니라 기획자가 추후 입력하기로 한 데이터입니다.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/>
    <x:row r="4" ht="15" hidden="0" customHeight="1">
      <x:c r="A4" s="23" t="str">
        <x:v>ID</x:v>
      </x:c>
      <x:c r="B4" s="23" t="str">
        <x:v>무기</x:v>
      </x:c>
      <x:c r="C4" s="23" t="str">
        <x:v>광물</x:v>
      </x:c>
      <x:c r="D4" s="23" t="str">
        <x:v>가스</x:v>
      </x:c>
      <x:c r="E4" s="23" t="str">
        <x:v>기본 피해</x:v>
      </x:c>
      <x:c r="F4" s="23" t="str">
        <x:v>발사 간격</x:v>
      </x:c>
      <x:c r="G4" s="23" t="str">
        <x:v>탄창</x:v>
      </x:c>
      <x:c r="H4" s="23" t="str">
        <x:v>장전시간</x:v>
      </x:c>
      <x:c r="I4" s="23" t="str">
        <x:v>사거리</x:v>
      </x:c>
      <x:c r="J4" s="23" t="str">
        <x:v>탄속</x:v>
      </x:c>
      <x:c r="K4" s="23" t="str">
        <x:v>특수 기능 수치</x:v>
      </x:c>
      <x:c r="L4" s="23" t="str">
        <x:v>최대 소지</x:v>
      </x:c>
      <x:c r="M4" s="23" t="str">
        <x:v>상태</x:v>
      </x:c>
      <x:c r="N4" s="23" t="str">
        <x:v>기준 문서</x:v>
      </x:c>
    </x:row>
    <x:row r="5" ht="15" hidden="0" customHeight="1">
      <x:c r="A5" s="12" t="n">
        <x:v>7200</x:v>
      </x:c>
      <x:c r="B5" s="12" t="str">
        <x:v>쌍권총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 t="n">
        <x:v>1</x:v>
      </x:c>
      <x:c r="M5" s="12" t="str">
        <x:v>추후 입력</x:v>
      </x:c>
      <x:c r="N5" s="12" t="str">
        <x:v>12 무기 기획</x:v>
      </x:c>
    </x:row>
    <x:row r="6" ht="15" hidden="0" customHeight="1">
      <x:c r="A6" s="12" t="n">
        <x:v>7201</x:v>
      </x:c>
      <x:c r="B6" s="12" t="str">
        <x:v>산탄총</x:v>
      </x:c>
      <x:c r="C6" s="12"/>
      <x:c r="D6" s="12"/>
      <x:c r="E6" s="12"/>
      <x:c r="F6" s="12"/>
      <x:c r="G6" s="12"/>
      <x:c r="H6" s="12"/>
      <x:c r="I6" s="12"/>
      <x:c r="J6" s="12"/>
      <x:c r="K6" s="12"/>
      <x:c r="L6" s="12" t="n">
        <x:v>1</x:v>
      </x:c>
      <x:c r="M6" s="12" t="str">
        <x:v>추후 입력</x:v>
      </x:c>
      <x:c r="N6" s="12" t="str">
        <x:v>12 무기 기획</x:v>
      </x:c>
    </x:row>
    <x:row r="7" ht="15" hidden="0" customHeight="1">
      <x:c r="A7" s="12" t="n">
        <x:v>7202</x:v>
      </x:c>
      <x:c r="B7" s="12" t="str">
        <x:v>석궁</x:v>
      </x:c>
      <x:c r="C7" s="12"/>
      <x:c r="D7" s="12"/>
      <x:c r="E7" s="12"/>
      <x:c r="F7" s="12"/>
      <x:c r="G7" s="12" t="n">
        <x:v>1</x:v>
      </x:c>
      <x:c r="H7" s="12"/>
      <x:c r="I7" s="12"/>
      <x:c r="J7" s="12"/>
      <x:c r="K7" s="12"/>
      <x:c r="L7" s="12" t="n">
        <x:v>1</x:v>
      </x:c>
      <x:c r="M7" s="12" t="str">
        <x:v>추후 입력</x:v>
      </x:c>
      <x:c r="N7" s="12" t="str">
        <x:v>12 무기 기획</x:v>
      </x:c>
    </x:row>
    <x:row r="8" ht="15" hidden="0" customHeight="1">
      <x:c r="A8" s="12" t="n">
        <x:v>7203</x:v>
      </x:c>
      <x:c r="B8" s="12" t="str">
        <x:v>유탄 발사기</x:v>
      </x:c>
      <x:c r="C8" s="12"/>
      <x:c r="D8" s="12"/>
      <x:c r="E8" s="12"/>
      <x:c r="F8" s="12"/>
      <x:c r="G8" s="12"/>
      <x:c r="H8" s="12"/>
      <x:c r="I8" s="12"/>
      <x:c r="J8" s="12"/>
      <x:c r="K8" s="12"/>
      <x:c r="L8" s="12" t="n">
        <x:v>1</x:v>
      </x:c>
      <x:c r="M8" s="12" t="str">
        <x:v>추후 입력</x:v>
      </x:c>
      <x:c r="N8" s="12" t="str">
        <x:v>12 무기 기획</x:v>
      </x:c>
    </x:row>
    <x:row r="9" ht="15" hidden="0" customHeight="1">
      <x:c r="A9" s="12" t="n">
        <x:v>7204</x:v>
      </x:c>
      <x:c r="B9" s="12" t="str">
        <x:v>화염 방사기</x:v>
      </x:c>
      <x:c r="C9" s="12"/>
      <x:c r="D9" s="12"/>
      <x:c r="E9" s="12"/>
      <x:c r="F9" s="12"/>
      <x:c r="G9" s="12"/>
      <x:c r="H9" s="12"/>
      <x:c r="I9" s="12"/>
      <x:c r="J9" s="12"/>
      <x:c r="K9" s="12"/>
      <x:c r="L9" s="12" t="n">
        <x:v>1</x:v>
      </x:c>
      <x:c r="M9" s="12" t="str">
        <x:v>추후 입력</x:v>
      </x:c>
      <x:c r="N9" s="12" t="str">
        <x:v>12 무기 기획</x:v>
      </x:c>
    </x:row>
  </x:sheetData>
  <x:mergeCells>
    <x:mergeCell ref="A1:N1"/>
    <x:mergeCell ref="A2:N2"/>
  </x:mergeCells>
  <x:conditionalFormatting sqref="M5:M9">
    <x:cfRule type="containsText" dxfId="60" priority="1" operator="containsText" text="확정"/>
    <x:cfRule type="containsText" dxfId="61" priority="2" operator="containsText" text="임시"/>
    <x:cfRule type="containsText" dxfId="62" priority="3" operator="containsText" text="질문 필요"/>
    <x:cfRule type="containsText" dxfId="63" priority="4" operator="containsText" text="추후 입력"/>
    <x:cfRule type="containsText" dxfId="64" priority="5" operator="containsText" text="보류"/>
  </x:conditionalFormatting>
  <x:dataValidations count="1">
    <x:dataValidation type="list" sqref="M5:M9">
      <x:formula1>"확정,임시,질문 필요,추후 입력,보류"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0b173afc44f4da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20" hidden="0" customWidth="1"/>
    <x:col min="4" max="4" width="12" hidden="0" customWidth="1"/>
    <x:col min="5" max="5" width="12" hidden="0" customWidth="1"/>
    <x:col min="6" max="6" width="14" hidden="0" customWidth="1"/>
    <x:col min="7" max="7" width="18" hidden="0" customWidth="1"/>
    <x:col min="8" max="8" width="14" hidden="0" customWidth="1"/>
    <x:col min="9" max="9" width="16" hidden="0" customWidth="1"/>
    <x:col min="10" max="10" width="14" hidden="0" customWidth="1"/>
    <x:col min="11" max="11" width="14" hidden="0" customWidth="1"/>
    <x:col min="12" max="12" width="22" hidden="0" customWidth="1"/>
    <x:col min="13" max="13" width="14" hidden="0" customWidth="1"/>
    <x:col min="14" max="14" width="14" hidden="0" customWidth="1"/>
    <x:col min="15" max="15" width="34" hidden="0" customWidth="1"/>
  </x:cols>
  <x:sheetData>
    <x:row r="1" ht="19.200000762939453" hidden="0" customHeight="1">
      <x:c r="A1" s="3" t="str">
        <x:v>Monster — 몬스터 데이터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15" hidden="0" customHeight="1">
      <x:c r="A2" s="7" t="str">
        <x:v>행동과 변환 규칙은 07 몬스터 기획을 기준으로 합니다. 체력과 직접 공격 피해는 추후 입력하며 실패 피해는 확정값입니다.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3"/>
    <x:row r="4" ht="15" hidden="0" customHeight="1">
      <x:c r="A4" s="14" t="str">
        <x:v>ID</x:v>
      </x:c>
      <x:c r="B4" s="14" t="str">
        <x:v>구역</x:v>
      </x:c>
      <x:c r="C4" s="14" t="str">
        <x:v>몬스터</x:v>
      </x:c>
      <x:c r="D4" s="14" t="str">
        <x:v>등급</x:v>
      </x:c>
      <x:c r="E4" s="14" t="str">
        <x:v>체력</x:v>
      </x:c>
      <x:c r="F4" s="14" t="str">
        <x:v>접촉 피해</x:v>
      </x:c>
      <x:c r="G4" s="14" t="str">
        <x:v>이동속도 배수</x:v>
      </x:c>
      <x:c r="H4" s="14" t="str">
        <x:v>투사체 피해</x:v>
      </x:c>
      <x:c r="I4" s="14" t="str">
        <x:v>투사체 속도</x:v>
      </x:c>
      <x:c r="J4" s="14" t="str">
        <x:v>발사 간격</x:v>
      </x:c>
      <x:c r="K4" s="14" t="str">
        <x:v>실패 피해</x:v>
      </x:c>
      <x:c r="L4" s="14" t="str">
        <x:v>실패 피해 단위</x:v>
      </x:c>
      <x:c r="M4" s="14" t="str">
        <x:v>토큰 확률</x:v>
      </x:c>
      <x:c r="N4" s="14" t="str">
        <x:v>상태</x:v>
      </x:c>
      <x:c r="O4" s="14" t="str">
        <x:v>메모</x:v>
      </x:c>
    </x:row>
    <x:row r="5" ht="15" hidden="0" customHeight="1">
      <x:c r="A5" s="12" t="n">
        <x:v>5000</x:v>
      </x:c>
      <x:c r="B5" s="12" t="str">
        <x:v>외부</x:v>
      </x:c>
      <x:c r="C5" s="12" t="str">
        <x:v>기간티아</x:v>
      </x:c>
      <x:c r="D5" s="12" t="str">
        <x:v>배회</x:v>
      </x:c>
      <x:c r="E5" s="12"/>
      <x:c r="F5" s="12"/>
      <x:c r="G5" s="30" t="n">
        <x:v>2</x:v>
      </x:c>
      <x:c r="H5" s="30"/>
      <x:c r="I5" s="30"/>
      <x:c r="J5" s="30"/>
      <x:c r="K5" s="12"/>
      <x:c r="L5" s="12"/>
      <x:c r="M5" s="21" t="n">
        <x:v>1</x:v>
      </x:c>
      <x:c r="N5" s="12" t="str">
        <x:v>추후 입력</x:v>
      </x:c>
      <x:c r="O5" s="12" t="str">
        <x:v>처치 시 토큰 1</x:v>
      </x:c>
    </x:row>
    <x:row r="6" ht="15" hidden="0" customHeight="1">
      <x:c r="A6" s="12" t="n">
        <x:v>5001</x:v>
      </x:c>
      <x:c r="B6" s="12" t="str">
        <x:v>외부</x:v>
      </x:c>
      <x:c r="C6" s="12" t="str">
        <x:v>스토커</x:v>
      </x:c>
      <x:c r="D6" s="12" t="str">
        <x:v>추격</x:v>
      </x:c>
      <x:c r="E6" s="12"/>
      <x:c r="F6" s="12"/>
      <x:c r="G6" s="30" t="n">
        <x:v>1.5</x:v>
      </x:c>
      <x:c r="H6" s="30"/>
      <x:c r="I6" s="30" t="n">
        <x:v>1</x:v>
      </x:c>
      <x:c r="J6" s="30" t="n">
        <x:v>2</x:v>
      </x:c>
      <x:c r="K6" s="12"/>
      <x:c r="L6" s="12"/>
      <x:c r="M6" s="21"/>
      <x:c r="N6" s="12" t="str">
        <x:v>추후 입력</x:v>
      </x:c>
      <x:c r="O6" s="12" t="str">
        <x:v>러너 위치 직선 투사체</x:v>
      </x:c>
    </x:row>
    <x:row r="7" ht="15" hidden="0" customHeight="1">
      <x:c r="A7" s="12" t="n">
        <x:v>5002</x:v>
      </x:c>
      <x:c r="B7" s="12" t="str">
        <x:v>외부</x:v>
      </x:c>
      <x:c r="C7" s="12" t="str">
        <x:v>스트라이더</x:v>
      </x:c>
      <x:c r="D7" s="12" t="str">
        <x:v>배회</x:v>
      </x:c>
      <x:c r="E7" s="12"/>
      <x:c r="F7" s="12"/>
      <x:c r="G7" s="30"/>
      <x:c r="H7" s="30"/>
      <x:c r="I7" s="30"/>
      <x:c r="J7" s="30"/>
      <x:c r="K7" s="12"/>
      <x:c r="L7" s="12"/>
      <x:c r="M7" s="21"/>
      <x:c r="N7" s="12" t="str">
        <x:v>추후 입력</x:v>
      </x:c>
      <x:c r="O7" s="12" t="str">
        <x:v>순간 고속 이동</x:v>
      </x:c>
    </x:row>
    <x:row r="8" ht="15" hidden="0" customHeight="1">
      <x:c r="A8" s="12" t="n">
        <x:v>5003</x:v>
      </x:c>
      <x:c r="B8" s="12" t="str">
        <x:v>외부</x:v>
      </x:c>
      <x:c r="C8" s="12" t="str">
        <x:v>라플라시아</x:v>
      </x:c>
      <x:c r="D8" s="12" t="str">
        <x:v>고정</x:v>
      </x:c>
      <x:c r="E8" s="12"/>
      <x:c r="F8" s="12"/>
      <x:c r="G8" s="30" t="n">
        <x:v>0</x:v>
      </x:c>
      <x:c r="H8" s="30"/>
      <x:c r="I8" s="30" t="n">
        <x:v>1.5</x:v>
      </x:c>
      <x:c r="J8" s="30" t="n">
        <x:v>0.75</x:v>
      </x:c>
      <x:c r="K8" s="12"/>
      <x:c r="L8" s="12"/>
      <x:c r="M8" s="21"/>
      <x:c r="N8" s="12" t="str">
        <x:v>추후 입력</x:v>
      </x:c>
      <x:c r="O8" s="12" t="str">
        <x:v>내부화 제외</x:v>
      </x:c>
    </x:row>
    <x:row r="9" ht="15" hidden="0" customHeight="1">
      <x:c r="A9" s="12" t="n">
        <x:v>5100</x:v>
      </x:c>
      <x:c r="B9" s="12" t="str">
        <x:v>내부</x:v>
      </x:c>
      <x:c r="C9" s="12" t="str">
        <x:v>워커</x:v>
      </x:c>
      <x:c r="D9" s="12" t="str">
        <x:v>일반</x:v>
      </x:c>
      <x:c r="E9" s="12"/>
      <x:c r="F9" s="12" t="n">
        <x:v>10</x:v>
      </x:c>
      <x:c r="G9" s="30"/>
      <x:c r="H9" s="30"/>
      <x:c r="I9" s="30"/>
      <x:c r="J9" s="30"/>
      <x:c r="K9" s="28" t="n">
        <x:v>10</x:v>
      </x:c>
      <x:c r="L9" s="12" t="str">
        <x:v>HP</x:v>
      </x:c>
      <x:c r="M9" s="21"/>
      <x:c r="N9" s="12" t="str">
        <x:v>추후 입력</x:v>
      </x:c>
      <x:c r="O9" s="12" t="str">
        <x:v>완주 시 피해</x:v>
      </x:c>
    </x:row>
    <x:row r="10" ht="15" hidden="0" customHeight="1">
      <x:c r="A10" s="12" t="n">
        <x:v>5101</x:v>
      </x:c>
      <x:c r="B10" s="12" t="str">
        <x:v>내부</x:v>
      </x:c>
      <x:c r="C10" s="12" t="str">
        <x:v>프레데터</x:v>
      </x:c>
      <x:c r="D10" s="12" t="str">
        <x:v>정예</x:v>
      </x:c>
      <x:c r="E10" s="12"/>
      <x:c r="F10" s="12" t="n">
        <x:v>30</x:v>
      </x:c>
      <x:c r="G10" s="30"/>
      <x:c r="H10" s="30"/>
      <x:c r="I10" s="30"/>
      <x:c r="J10" s="30"/>
      <x:c r="K10" s="28" t="n">
        <x:v>30</x:v>
      </x:c>
      <x:c r="L10" s="12" t="str">
        <x:v>HP</x:v>
      </x:c>
      <x:c r="M10" s="21" t="n">
        <x:v>0.3</x:v>
      </x:c>
      <x:c r="N10" s="12" t="str">
        <x:v>추후 입력</x:v>
      </x:c>
      <x:c r="O10" s="12" t="str">
        <x:v>웨이브 종료 생존 시 피해, 처치 시 토큰 1</x:v>
      </x:c>
    </x:row>
    <x:row r="11" ht="15" hidden="0" customHeight="1">
      <x:c r="A11" s="12" t="n">
        <x:v>5102</x:v>
      </x:c>
      <x:c r="B11" s="12" t="str">
        <x:v>내부</x:v>
      </x:c>
      <x:c r="C11" s="12" t="str">
        <x:v>인베이더</x:v>
      </x:c>
      <x:c r="D11" s="12" t="str">
        <x:v>보스</x:v>
      </x:c>
      <x:c r="E11" s="12"/>
      <x:c r="F11" s="12"/>
      <x:c r="G11" s="30"/>
      <x:c r="H11" s="30"/>
      <x:c r="I11" s="30"/>
      <x:c r="J11" s="30"/>
      <x:c r="K11" s="21" t="n">
        <x:v>0.5</x:v>
      </x:c>
      <x:c r="L11" s="12" t="str">
        <x:v>러너 최대 HP 비율</x:v>
      </x:c>
      <x:c r="M11" s="21"/>
      <x:c r="N11" s="12" t="str">
        <x:v>추후 입력</x:v>
      </x:c>
      <x:c r="O11" s="12" t="str">
        <x:v>반전 면역</x:v>
      </x:c>
    </x:row>
    <x:row r="12" ht="15" hidden="0" customHeight="1">
      <x:c r="A12" s="12" t="n">
        <x:v>5103</x:v>
      </x:c>
      <x:c r="B12" s="12" t="str">
        <x:v>내부</x:v>
      </x:c>
      <x:c r="C12" s="12" t="str">
        <x:v>하드워커</x:v>
      </x:c>
      <x:c r="D12" s="12" t="str">
        <x:v>특수</x:v>
      </x:c>
      <x:c r="E12" s="12"/>
      <x:c r="F12" s="12"/>
      <x:c r="G12" s="30"/>
      <x:c r="H12" s="30"/>
      <x:c r="I12" s="30"/>
      <x:c r="J12" s="30"/>
      <x:c r="K12" s="12"/>
      <x:c r="L12" s="12"/>
      <x:c r="M12" s="21"/>
      <x:c r="N12" s="12" t="str">
        <x:v>추후 입력</x:v>
      </x:c>
      <x:c r="O12" s="12" t="str">
        <x:v>러너 가담 보너스형</x:v>
      </x:c>
    </x:row>
  </x:sheetData>
  <x:mergeCells>
    <x:mergeCell ref="A1:O1"/>
    <x:mergeCell ref="A2:O2"/>
  </x:mergeCells>
  <x:conditionalFormatting sqref="N5:N12">
    <x:cfRule type="containsText" dxfId="65" priority="1" operator="containsText" text="확정"/>
    <x:cfRule type="containsText" dxfId="66" priority="2" operator="containsText" text="임시"/>
    <x:cfRule type="containsText" dxfId="67" priority="3" operator="containsText" text="질문 필요"/>
    <x:cfRule type="containsText" dxfId="68" priority="4" operator="containsText" text="추후 입력"/>
    <x:cfRule type="containsText" dxfId="69" priority="5" operator="containsText" text="보류"/>
  </x:conditionalFormatting>
  <x:dataValidations count="1">
    <x:dataValidation type="list" sqref="N5:N12">
      <x:formula1>"확정,임시,질문 필요,추후 입력,보류"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b61ea085abd4518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16" hidden="0" customWidth="1"/>
    <x:col min="4" max="4" width="14" hidden="0" customWidth="1"/>
    <x:col min="5" max="5" width="14" hidden="0" customWidth="1"/>
    <x:col min="6" max="6" width="12" hidden="0" customWidth="1"/>
    <x:col min="7" max="7" width="10" hidden="0" customWidth="1"/>
    <x:col min="8" max="8" width="14" hidden="0" customWidth="1"/>
    <x:col min="9" max="9" width="34" hidden="0" customWidth="1"/>
    <x:col min="10" max="10" width="14" hidden="0" customWidth="1"/>
  </x:cols>
  <x:sheetData>
    <x:row r="1" ht="19.200000762939453" hidden="0" customHeight="1">
      <x:c r="A1" s="3" t="str">
        <x:v>Wave — 등장 시간표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15" hidden="0" customHeight="1">
      <x:c r="A2" s="7" t="str">
        <x:v>한 행은 한 번의 등장 이벤트입니다. 절대 시각은 웨이브 시작 시각과 웨이브 내부 오프셋을 더한 수식입니다.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/>
    <x:row r="4" ht="15" hidden="0" customHeight="1">
      <x:c r="A4" s="14" t="str">
        <x:v>이벤트 ID</x:v>
      </x:c>
      <x:c r="B4" s="14" t="str">
        <x:v>웨이브</x:v>
      </x:c>
      <x:c r="C4" s="14" t="str">
        <x:v>웨이브 시작</x:v>
      </x:c>
      <x:c r="D4" s="14" t="str">
        <x:v>내부 시각</x:v>
      </x:c>
      <x:c r="E4" s="14" t="str">
        <x:v>절대 시각</x:v>
      </x:c>
      <x:c r="F4" s="14" t="str">
        <x:v>등급</x:v>
      </x:c>
      <x:c r="G4" s="14" t="str">
        <x:v>수량</x:v>
      </x:c>
      <x:c r="H4" s="14" t="str">
        <x:v>상태</x:v>
      </x:c>
      <x:c r="I4" s="14" t="str">
        <x:v>메모</x:v>
      </x:c>
      <x:c r="J4" s="14" t="str">
        <x:v>기준 문서</x:v>
      </x:c>
    </x:row>
    <x:row r="5" ht="21.600000381469727" hidden="0" customHeight="1">
      <x:c r="A5" s="12" t="str">
        <x:v>WV001</x:v>
      </x:c>
      <x:c r="B5" s="12" t="n">
        <x:v>1</x:v>
      </x:c>
      <x:c r="C5" s="20" t="n">
        <x:v>30</x:v>
      </x:c>
      <x:c r="D5" s="20" t="n">
        <x:v>0</x:v>
      </x:c>
      <x:c r="E5" s="20" t="n">
        <x:f>IF(COUNT(C5:D5)&lt;2,"",C5+D5)</x:f>
        <x:v>30</x:v>
      </x:c>
      <x:c r="F5" s="12" t="str">
        <x:v>일반</x:v>
      </x:c>
      <x:c r="G5" s="20" t="n">
        <x:v>5</x:v>
      </x:c>
      <x:c r="H5" s="12" t="str">
        <x:v>확정</x:v>
      </x:c>
      <x:c r="I5" s="12" t="str"/>
      <x:c r="J5" s="12" t="str">
        <x:v>06 스테이지 및 웨이브</x:v>
      </x:c>
    </x:row>
    <x:row r="6" ht="21.600000381469727" hidden="0" customHeight="1">
      <x:c r="A6" s="12" t="str">
        <x:v>WV002</x:v>
      </x:c>
      <x:c r="B6" s="12" t="n">
        <x:v>1</x:v>
      </x:c>
      <x:c r="C6" s="20" t="n">
        <x:v>30</x:v>
      </x:c>
      <x:c r="D6" s="20" t="n">
        <x:v>20</x:v>
      </x:c>
      <x:c r="E6" s="20" t="n">
        <x:f>IF(COUNT(C6:D6)&lt;2,"",C6+D6)</x:f>
        <x:v>50</x:v>
      </x:c>
      <x:c r="F6" s="12" t="str">
        <x:v>일반</x:v>
      </x:c>
      <x:c r="G6" s="20" t="n">
        <x:v>5</x:v>
      </x:c>
      <x:c r="H6" s="12" t="str">
        <x:v>확정</x:v>
      </x:c>
      <x:c r="I6" s="12" t="str"/>
      <x:c r="J6" s="12" t="str">
        <x:v>06 스테이지 및 웨이브</x:v>
      </x:c>
    </x:row>
    <x:row r="7" ht="21.600000381469727" hidden="0" customHeight="1">
      <x:c r="A7" s="12" t="str">
        <x:v>WV003</x:v>
      </x:c>
      <x:c r="B7" s="12" t="n">
        <x:v>1</x:v>
      </x:c>
      <x:c r="C7" s="20" t="n">
        <x:v>30</x:v>
      </x:c>
      <x:c r="D7" s="20" t="n">
        <x:v>40</x:v>
      </x:c>
      <x:c r="E7" s="20" t="n">
        <x:f>IF(COUNT(C7:D7)&lt;2,"",C7+D7)</x:f>
        <x:v>70</x:v>
      </x:c>
      <x:c r="F7" s="12" t="str">
        <x:v>일반</x:v>
      </x:c>
      <x:c r="G7" s="20" t="n">
        <x:v>5</x:v>
      </x:c>
      <x:c r="H7" s="12" t="str">
        <x:v>확정</x:v>
      </x:c>
      <x:c r="I7" s="12" t="str"/>
      <x:c r="J7" s="12" t="str">
        <x:v>06 스테이지 및 웨이브</x:v>
      </x:c>
    </x:row>
    <x:row r="8" ht="21.600000381469727" hidden="0" customHeight="1">
      <x:c r="A8" s="12" t="str">
        <x:v>WV004</x:v>
      </x:c>
      <x:c r="B8" s="12" t="n">
        <x:v>1</x:v>
      </x:c>
      <x:c r="C8" s="20" t="n">
        <x:v>30</x:v>
      </x:c>
      <x:c r="D8" s="20" t="n">
        <x:v>60</x:v>
      </x:c>
      <x:c r="E8" s="20" t="n">
        <x:f>IF(COUNT(C8:D8)&lt;2,"",C8+D8)</x:f>
        <x:v>90</x:v>
      </x:c>
      <x:c r="F8" s="12" t="str">
        <x:v>정예</x:v>
      </x:c>
      <x:c r="G8" s="20" t="n">
        <x:v>3</x:v>
      </x:c>
      <x:c r="H8" s="12" t="str">
        <x:v>확정</x:v>
      </x:c>
      <x:c r="I8" s="12" t="str"/>
      <x:c r="J8" s="12" t="str">
        <x:v>06 스테이지 및 웨이브</x:v>
      </x:c>
    </x:row>
    <x:row r="9" ht="21.600000381469727" hidden="0" customHeight="1">
      <x:c r="A9" s="12" t="str">
        <x:v>WV005</x:v>
      </x:c>
      <x:c r="B9" s="12" t="n">
        <x:v>1</x:v>
      </x:c>
      <x:c r="C9" s="20" t="n">
        <x:v>30</x:v>
      </x:c>
      <x:c r="D9" s="20" t="n">
        <x:v>80</x:v>
      </x:c>
      <x:c r="E9" s="20" t="n">
        <x:f>IF(COUNT(C9:D9)&lt;2,"",C9+D9)</x:f>
        <x:v>110</x:v>
      </x:c>
      <x:c r="F9" s="12" t="str">
        <x:v>일반</x:v>
      </x:c>
      <x:c r="G9" s="20" t="n">
        <x:v>5</x:v>
      </x:c>
      <x:c r="H9" s="12" t="str">
        <x:v>확정</x:v>
      </x:c>
      <x:c r="I9" s="12" t="str"/>
      <x:c r="J9" s="12" t="str">
        <x:v>06 스테이지 및 웨이브</x:v>
      </x:c>
    </x:row>
    <x:row r="10" ht="21.600000381469727" hidden="0" customHeight="1">
      <x:c r="A10" s="12" t="str">
        <x:v>WV006</x:v>
      </x:c>
      <x:c r="B10" s="12" t="n">
        <x:v>1</x:v>
      </x:c>
      <x:c r="C10" s="20" t="n">
        <x:v>30</x:v>
      </x:c>
      <x:c r="D10" s="20" t="n">
        <x:v>100</x:v>
      </x:c>
      <x:c r="E10" s="20" t="n">
        <x:f>IF(COUNT(C10:D10)&lt;2,"",C10+D10)</x:f>
        <x:v>130</x:v>
      </x:c>
      <x:c r="F10" s="12" t="str">
        <x:v>일반</x:v>
      </x:c>
      <x:c r="G10" s="20" t="n">
        <x:v>5</x:v>
      </x:c>
      <x:c r="H10" s="12" t="str">
        <x:v>확정</x:v>
      </x:c>
      <x:c r="I10" s="12" t="str"/>
      <x:c r="J10" s="12" t="str">
        <x:v>06 스테이지 및 웨이브</x:v>
      </x:c>
    </x:row>
    <x:row r="11" ht="21.600000381469727" hidden="0" customHeight="1">
      <x:c r="A11" s="12" t="str">
        <x:v>WV007</x:v>
      </x:c>
      <x:c r="B11" s="12" t="n">
        <x:v>1</x:v>
      </x:c>
      <x:c r="C11" s="20" t="n">
        <x:v>30</x:v>
      </x:c>
      <x:c r="D11" s="20" t="n">
        <x:v>120</x:v>
      </x:c>
      <x:c r="E11" s="20" t="n">
        <x:f>IF(COUNT(C11:D11)&lt;2,"",C11+D11)</x:f>
        <x:v>150</x:v>
      </x:c>
      <x:c r="F11" s="12" t="str">
        <x:v>일반</x:v>
      </x:c>
      <x:c r="G11" s="20" t="n">
        <x:v>5</x:v>
      </x:c>
      <x:c r="H11" s="12" t="str">
        <x:v>확정</x:v>
      </x:c>
      <x:c r="I11" s="12" t="str"/>
      <x:c r="J11" s="12" t="str">
        <x:v>06 스테이지 및 웨이브</x:v>
      </x:c>
    </x:row>
    <x:row r="12" ht="21.600000381469727" hidden="0" customHeight="1">
      <x:c r="A12" s="12" t="str">
        <x:v>WV008</x:v>
      </x:c>
      <x:c r="B12" s="12" t="n">
        <x:v>1</x:v>
      </x:c>
      <x:c r="C12" s="20" t="n">
        <x:v>30</x:v>
      </x:c>
      <x:c r="D12" s="20" t="n">
        <x:v>140</x:v>
      </x:c>
      <x:c r="E12" s="20" t="n">
        <x:f>IF(COUNT(C12:D12)&lt;2,"",C12+D12)</x:f>
        <x:v>170</x:v>
      </x:c>
      <x:c r="F12" s="12" t="str">
        <x:v>일반</x:v>
      </x:c>
      <x:c r="G12" s="20" t="n">
        <x:v>5</x:v>
      </x:c>
      <x:c r="H12" s="12" t="str">
        <x:v>확정</x:v>
      </x:c>
      <x:c r="I12" s="12" t="str"/>
      <x:c r="J12" s="12" t="str">
        <x:v>06 스테이지 및 웨이브</x:v>
      </x:c>
    </x:row>
    <x:row r="13" ht="21.600000381469727" hidden="0" customHeight="1">
      <x:c r="A13" s="12" t="str">
        <x:v>WV009</x:v>
      </x:c>
      <x:c r="B13" s="12" t="n">
        <x:v>1</x:v>
      </x:c>
      <x:c r="C13" s="20" t="n">
        <x:v>30</x:v>
      </x:c>
      <x:c r="D13" s="20" t="n">
        <x:v>160</x:v>
      </x:c>
      <x:c r="E13" s="20" t="n">
        <x:f>IF(COUNT(C13:D13)&lt;2,"",C13+D13)</x:f>
        <x:v>190</x:v>
      </x:c>
      <x:c r="F13" s="12" t="str">
        <x:v>일반</x:v>
      </x:c>
      <x:c r="G13" s="20" t="n">
        <x:v>5</x:v>
      </x:c>
      <x:c r="H13" s="12" t="str">
        <x:v>확정</x:v>
      </x:c>
      <x:c r="I13" s="12" t="str"/>
      <x:c r="J13" s="12" t="str">
        <x:v>06 스테이지 및 웨이브</x:v>
      </x:c>
    </x:row>
    <x:row r="14" ht="21.600000381469727" hidden="0" customHeight="1">
      <x:c r="A14" s="12" t="str">
        <x:v>WV010</x:v>
      </x:c>
      <x:c r="B14" s="12" t="n">
        <x:v>2</x:v>
      </x:c>
      <x:c r="C14" s="20" t="n">
        <x:v>240</x:v>
      </x:c>
      <x:c r="D14" s="20" t="n">
        <x:v>0</x:v>
      </x:c>
      <x:c r="E14" s="20" t="n">
        <x:f>IF(COUNT(C14:D14)&lt;2,"",C14+D14)</x:f>
        <x:v>240</x:v>
      </x:c>
      <x:c r="F14" s="12" t="str">
        <x:v>일반</x:v>
      </x:c>
      <x:c r="G14" s="20" t="n">
        <x:v>10</x:v>
      </x:c>
      <x:c r="H14" s="12" t="str">
        <x:v>확정</x:v>
      </x:c>
      <x:c r="I14" s="12" t="str"/>
      <x:c r="J14" s="12" t="str">
        <x:v>06 스테이지 및 웨이브</x:v>
      </x:c>
    </x:row>
    <x:row r="15" ht="21.600000381469727" hidden="0" customHeight="1">
      <x:c r="A15" s="12" t="str">
        <x:v>WV011</x:v>
      </x:c>
      <x:c r="B15" s="12" t="n">
        <x:v>2</x:v>
      </x:c>
      <x:c r="C15" s="20" t="n">
        <x:v>240</x:v>
      </x:c>
      <x:c r="D15" s="20" t="n">
        <x:v>20</x:v>
      </x:c>
      <x:c r="E15" s="20" t="n">
        <x:f>IF(COUNT(C15:D15)&lt;2,"",C15+D15)</x:f>
        <x:v>260</x:v>
      </x:c>
      <x:c r="F15" s="12" t="str">
        <x:v>일반</x:v>
      </x:c>
      <x:c r="G15" s="20" t="n">
        <x:v>10</x:v>
      </x:c>
      <x:c r="H15" s="12" t="str">
        <x:v>확정</x:v>
      </x:c>
      <x:c r="I15" s="12" t="str"/>
      <x:c r="J15" s="12" t="str">
        <x:v>06 스테이지 및 웨이브</x:v>
      </x:c>
    </x:row>
    <x:row r="16" ht="21.600000381469727" hidden="0" customHeight="1">
      <x:c r="A16" s="12" t="str">
        <x:v>WV012</x:v>
      </x:c>
      <x:c r="B16" s="12" t="n">
        <x:v>2</x:v>
      </x:c>
      <x:c r="C16" s="20" t="n">
        <x:v>240</x:v>
      </x:c>
      <x:c r="D16" s="20" t="n">
        <x:v>40</x:v>
      </x:c>
      <x:c r="E16" s="20" t="n">
        <x:f>IF(COUNT(C16:D16)&lt;2,"",C16+D16)</x:f>
        <x:v>280</x:v>
      </x:c>
      <x:c r="F16" s="12" t="str">
        <x:v>일반</x:v>
      </x:c>
      <x:c r="G16" s="20" t="n">
        <x:v>10</x:v>
      </x:c>
      <x:c r="H16" s="12" t="str">
        <x:v>확정</x:v>
      </x:c>
      <x:c r="I16" s="12" t="str"/>
      <x:c r="J16" s="12" t="str">
        <x:v>06 스테이지 및 웨이브</x:v>
      </x:c>
    </x:row>
    <x:row r="17" ht="21.600000381469727" hidden="0" customHeight="1">
      <x:c r="A17" s="12" t="str">
        <x:v>WV013</x:v>
      </x:c>
      <x:c r="B17" s="12" t="n">
        <x:v>2</x:v>
      </x:c>
      <x:c r="C17" s="20" t="n">
        <x:v>240</x:v>
      </x:c>
      <x:c r="D17" s="20" t="n">
        <x:v>60</x:v>
      </x:c>
      <x:c r="E17" s="20" t="n">
        <x:f>IF(COUNT(C17:D17)&lt;2,"",C17+D17)</x:f>
        <x:v>300</x:v>
      </x:c>
      <x:c r="F17" s="12" t="str">
        <x:v>일반</x:v>
      </x:c>
      <x:c r="G17" s="20" t="n">
        <x:v>5</x:v>
      </x:c>
      <x:c r="H17" s="12" t="str">
        <x:v>확정</x:v>
      </x:c>
      <x:c r="I17" s="12" t="str"/>
      <x:c r="J17" s="12" t="str">
        <x:v>06 스테이지 및 웨이브</x:v>
      </x:c>
    </x:row>
    <x:row r="18" ht="21.600000381469727" hidden="0" customHeight="1">
      <x:c r="A18" s="12" t="str">
        <x:v>WV014</x:v>
      </x:c>
      <x:c r="B18" s="12" t="n">
        <x:v>2</x:v>
      </x:c>
      <x:c r="C18" s="20" t="n">
        <x:v>240</x:v>
      </x:c>
      <x:c r="D18" s="20" t="n">
        <x:v>60</x:v>
      </x:c>
      <x:c r="E18" s="20" t="n">
        <x:f>IF(COUNT(C18:D18)&lt;2,"",C18+D18)</x:f>
        <x:v>300</x:v>
      </x:c>
      <x:c r="F18" s="12" t="str">
        <x:v>정예</x:v>
      </x:c>
      <x:c r="G18" s="20" t="n">
        <x:v>6</x:v>
      </x:c>
      <x:c r="H18" s="12" t="str">
        <x:v>확정</x:v>
      </x:c>
      <x:c r="I18" s="12" t="str"/>
      <x:c r="J18" s="12" t="str">
        <x:v>06 스테이지 및 웨이브</x:v>
      </x:c>
    </x:row>
    <x:row r="19" ht="21.600000381469727" hidden="0" customHeight="1">
      <x:c r="A19" s="12" t="str">
        <x:v>WV015</x:v>
      </x:c>
      <x:c r="B19" s="12" t="n">
        <x:v>2</x:v>
      </x:c>
      <x:c r="C19" s="20" t="n">
        <x:v>240</x:v>
      </x:c>
      <x:c r="D19" s="20" t="n">
        <x:v>80</x:v>
      </x:c>
      <x:c r="E19" s="20" t="n">
        <x:f>IF(COUNT(C19:D19)&lt;2,"",C19+D19)</x:f>
        <x:v>320</x:v>
      </x:c>
      <x:c r="F19" s="12" t="str">
        <x:v>일반</x:v>
      </x:c>
      <x:c r="G19" s="20" t="n">
        <x:v>5</x:v>
      </x:c>
      <x:c r="H19" s="12" t="str">
        <x:v>확정</x:v>
      </x:c>
      <x:c r="I19" s="12" t="str"/>
      <x:c r="J19" s="12" t="str">
        <x:v>06 스테이지 및 웨이브</x:v>
      </x:c>
    </x:row>
    <x:row r="20" ht="21.600000381469727" hidden="0" customHeight="1">
      <x:c r="A20" s="12" t="str">
        <x:v>WV016</x:v>
      </x:c>
      <x:c r="B20" s="12" t="n">
        <x:v>2</x:v>
      </x:c>
      <x:c r="C20" s="20" t="n">
        <x:v>240</x:v>
      </x:c>
      <x:c r="D20" s="20" t="n">
        <x:v>100</x:v>
      </x:c>
      <x:c r="E20" s="20" t="n">
        <x:f>IF(COUNT(C20:D20)&lt;2,"",C20+D20)</x:f>
        <x:v>340</x:v>
      </x:c>
      <x:c r="F20" s="12" t="str">
        <x:v>일반</x:v>
      </x:c>
      <x:c r="G20" s="20" t="n">
        <x:v>5</x:v>
      </x:c>
      <x:c r="H20" s="12" t="str">
        <x:v>확정</x:v>
      </x:c>
      <x:c r="I20" s="12" t="str"/>
      <x:c r="J20" s="12" t="str">
        <x:v>06 스테이지 및 웨이브</x:v>
      </x:c>
    </x:row>
    <x:row r="21" ht="21.600000381469727" hidden="0" customHeight="1">
      <x:c r="A21" s="12" t="str">
        <x:v>WV017</x:v>
      </x:c>
      <x:c r="B21" s="12" t="n">
        <x:v>2</x:v>
      </x:c>
      <x:c r="C21" s="20" t="n">
        <x:v>240</x:v>
      </x:c>
      <x:c r="D21" s="20" t="n">
        <x:v>120</x:v>
      </x:c>
      <x:c r="E21" s="20" t="n">
        <x:f>IF(COUNT(C21:D21)&lt;2,"",C21+D21)</x:f>
        <x:v>360</x:v>
      </x:c>
      <x:c r="F21" s="12" t="str">
        <x:v>일반</x:v>
      </x:c>
      <x:c r="G21" s="20" t="n">
        <x:v>5</x:v>
      </x:c>
      <x:c r="H21" s="12" t="str">
        <x:v>확정</x:v>
      </x:c>
      <x:c r="I21" s="12" t="str"/>
      <x:c r="J21" s="12" t="str">
        <x:v>06 스테이지 및 웨이브</x:v>
      </x:c>
    </x:row>
    <x:row r="22" ht="21.600000381469727" hidden="0" customHeight="1">
      <x:c r="A22" s="12" t="str">
        <x:v>WV018</x:v>
      </x:c>
      <x:c r="B22" s="12" t="n">
        <x:v>2</x:v>
      </x:c>
      <x:c r="C22" s="20" t="n">
        <x:v>240</x:v>
      </x:c>
      <x:c r="D22" s="20" t="n">
        <x:v>140</x:v>
      </x:c>
      <x:c r="E22" s="20" t="n">
        <x:f>IF(COUNT(C22:D22)&lt;2,"",C22+D22)</x:f>
        <x:v>380</x:v>
      </x:c>
      <x:c r="F22" s="12" t="str">
        <x:v>일반</x:v>
      </x:c>
      <x:c r="G22" s="20" t="n">
        <x:v>5</x:v>
      </x:c>
      <x:c r="H22" s="12" t="str">
        <x:v>확정</x:v>
      </x:c>
      <x:c r="I22" s="12" t="str"/>
      <x:c r="J22" s="12" t="str">
        <x:v>06 스테이지 및 웨이브</x:v>
      </x:c>
    </x:row>
    <x:row r="23" ht="21.600000381469727" hidden="0" customHeight="1">
      <x:c r="A23" s="12" t="str">
        <x:v>WV019</x:v>
      </x:c>
      <x:c r="B23" s="12" t="n">
        <x:v>2</x:v>
      </x:c>
      <x:c r="C23" s="20" t="n">
        <x:v>240</x:v>
      </x:c>
      <x:c r="D23" s="20" t="n">
        <x:v>160</x:v>
      </x:c>
      <x:c r="E23" s="20" t="n">
        <x:f>IF(COUNT(C23:D23)&lt;2,"",C23+D23)</x:f>
        <x:v>400</x:v>
      </x:c>
      <x:c r="F23" s="12" t="str">
        <x:v>일반</x:v>
      </x:c>
      <x:c r="G23" s="20" t="n">
        <x:v>5</x:v>
      </x:c>
      <x:c r="H23" s="12" t="str">
        <x:v>확정</x:v>
      </x:c>
      <x:c r="I23" s="12" t="str"/>
      <x:c r="J23" s="12" t="str">
        <x:v>06 스테이지 및 웨이브</x:v>
      </x:c>
    </x:row>
    <x:row r="24" ht="21.600000381469727" hidden="0" customHeight="1">
      <x:c r="A24" s="12" t="str">
        <x:v>WV020</x:v>
      </x:c>
      <x:c r="B24" s="12" t="n">
        <x:v>3</x:v>
      </x:c>
      <x:c r="C24" s="20" t="n">
        <x:v>450</x:v>
      </x:c>
      <x:c r="D24" s="20" t="n">
        <x:v>0</x:v>
      </x:c>
      <x:c r="E24" s="20" t="n">
        <x:f>IF(COUNT(C24:D24)&lt;2,"",C24+D24)</x:f>
        <x:v>450</x:v>
      </x:c>
      <x:c r="F24" s="12" t="str">
        <x:v>정예</x:v>
      </x:c>
      <x:c r="G24" s="20" t="n">
        <x:v>9</x:v>
      </x:c>
      <x:c r="H24" s="12" t="str">
        <x:v>확정</x:v>
      </x:c>
      <x:c r="I24" s="12" t="str"/>
      <x:c r="J24" s="12" t="str">
        <x:v>06 스테이지 및 웨이브</x:v>
      </x:c>
    </x:row>
    <x:row r="25" ht="21.600000381469727" hidden="0" customHeight="1">
      <x:c r="A25" s="12" t="str">
        <x:v>WV021</x:v>
      </x:c>
      <x:c r="B25" s="12" t="n">
        <x:v>3</x:v>
      </x:c>
      <x:c r="C25" s="20" t="n">
        <x:v>450</x:v>
      </x:c>
      <x:c r="D25" s="20" t="n">
        <x:v>60</x:v>
      </x:c>
      <x:c r="E25" s="20" t="n">
        <x:f>IF(COUNT(C25:D25)&lt;2,"",C25+D25)</x:f>
        <x:v>510</x:v>
      </x:c>
      <x:c r="F25" s="12" t="str">
        <x:v>일반</x:v>
      </x:c>
      <x:c r="G25" s="20" t="n">
        <x:v>10</x:v>
      </x:c>
      <x:c r="H25" s="12" t="str">
        <x:v>확정</x:v>
      </x:c>
      <x:c r="I25" s="12" t="str"/>
      <x:c r="J25" s="12" t="str">
        <x:v>06 스테이지 및 웨이브</x:v>
      </x:c>
    </x:row>
    <x:row r="26" ht="21.600000381469727" hidden="0" customHeight="1">
      <x:c r="A26" s="12" t="str">
        <x:v>WV022</x:v>
      </x:c>
      <x:c r="B26" s="12" t="n">
        <x:v>3</x:v>
      </x:c>
      <x:c r="C26" s="20" t="n">
        <x:v>450</x:v>
      </x:c>
      <x:c r="D26" s="20" t="n">
        <x:v>70</x:v>
      </x:c>
      <x:c r="E26" s="20" t="n">
        <x:f>IF(COUNT(C26:D26)&lt;2,"",C26+D26)</x:f>
        <x:v>520</x:v>
      </x:c>
      <x:c r="F26" s="12" t="str">
        <x:v>일반</x:v>
      </x:c>
      <x:c r="G26" s="20" t="n">
        <x:v>10</x:v>
      </x:c>
      <x:c r="H26" s="12" t="str">
        <x:v>확정</x:v>
      </x:c>
      <x:c r="I26" s="12" t="str"/>
      <x:c r="J26" s="12" t="str">
        <x:v>06 스테이지 및 웨이브</x:v>
      </x:c>
    </x:row>
    <x:row r="27" ht="21.600000381469727" hidden="0" customHeight="1">
      <x:c r="A27" s="12" t="str">
        <x:v>WV023</x:v>
      </x:c>
      <x:c r="B27" s="12" t="n">
        <x:v>3</x:v>
      </x:c>
      <x:c r="C27" s="20" t="n">
        <x:v>450</x:v>
      </x:c>
      <x:c r="D27" s="20" t="n">
        <x:v>80</x:v>
      </x:c>
      <x:c r="E27" s="20" t="n">
        <x:f>IF(COUNT(C27:D27)&lt;2,"",C27+D27)</x:f>
        <x:v>530</x:v>
      </x:c>
      <x:c r="F27" s="12" t="str">
        <x:v>일반</x:v>
      </x:c>
      <x:c r="G27" s="20" t="n">
        <x:v>10</x:v>
      </x:c>
      <x:c r="H27" s="12" t="str">
        <x:v>확정</x:v>
      </x:c>
      <x:c r="I27" s="12" t="str"/>
      <x:c r="J27" s="12" t="str">
        <x:v>06 스테이지 및 웨이브</x:v>
      </x:c>
    </x:row>
    <x:row r="28" ht="21.600000381469727" hidden="0" customHeight="1">
      <x:c r="A28" s="12" t="str">
        <x:v>WV024</x:v>
      </x:c>
      <x:c r="B28" s="12" t="n">
        <x:v>3</x:v>
      </x:c>
      <x:c r="C28" s="20" t="n">
        <x:v>450</x:v>
      </x:c>
      <x:c r="D28" s="20" t="n">
        <x:v>90</x:v>
      </x:c>
      <x:c r="E28" s="20" t="n">
        <x:f>IF(COUNT(C28:D28)&lt;2,"",C28+D28)</x:f>
        <x:v>540</x:v>
      </x:c>
      <x:c r="F28" s="12" t="str">
        <x:v>보스</x:v>
      </x:c>
      <x:c r="G28" s="20" t="n">
        <x:v>1</x:v>
      </x:c>
      <x:c r="H28" s="12" t="str">
        <x:v>확정</x:v>
      </x:c>
      <x:c r="I28" s="12" t="str"/>
      <x:c r="J28" s="12" t="str">
        <x:v>06 스테이지 및 웨이브</x:v>
      </x:c>
    </x:row>
    <x:row r="29" ht="21.600000381469727" hidden="0" customHeight="1">
      <x:c r="A29" s="12" t="str">
        <x:v>WV025</x:v>
      </x:c>
      <x:c r="B29" s="12" t="n">
        <x:v>4</x:v>
      </x:c>
      <x:c r="C29" s="20" t="n">
        <x:v>660</x:v>
      </x:c>
      <x:c r="D29" s="20" t="n">
        <x:v>0</x:v>
      </x:c>
      <x:c r="E29" s="20" t="n">
        <x:f>IF(COUNT(C29:D29)&lt;2,"",C29+D29)</x:f>
        <x:v>660</x:v>
      </x:c>
      <x:c r="F29" s="12" t="str">
        <x:v>정예</x:v>
      </x:c>
      <x:c r="G29" s="20" t="n">
        <x:v>6</x:v>
      </x:c>
      <x:c r="H29" s="12" t="str">
        <x:v>확정</x:v>
      </x:c>
      <x:c r="I29" s="12" t="str"/>
      <x:c r="J29" s="12" t="str">
        <x:v>06 스테이지 및 웨이브</x:v>
      </x:c>
    </x:row>
    <x:row r="30" ht="21.600000381469727" hidden="0" customHeight="1">
      <x:c r="A30" s="12" t="str">
        <x:v>WV026</x:v>
      </x:c>
      <x:c r="B30" s="12" t="n">
        <x:v>4</x:v>
      </x:c>
      <x:c r="C30" s="20" t="n">
        <x:v>660</x:v>
      </x:c>
      <x:c r="D30" s="20" t="n">
        <x:v>10</x:v>
      </x:c>
      <x:c r="E30" s="20" t="n">
        <x:f>IF(COUNT(C30:D30)&lt;2,"",C30+D30)</x:f>
        <x:v>670</x:v>
      </x:c>
      <x:c r="F30" s="12" t="str">
        <x:v>일반</x:v>
      </x:c>
      <x:c r="G30" s="20" t="n">
        <x:v>15</x:v>
      </x:c>
      <x:c r="H30" s="12" t="str">
        <x:v>확정</x:v>
      </x:c>
      <x:c r="I30" s="12" t="str"/>
      <x:c r="J30" s="12" t="str">
        <x:v>06 스테이지 및 웨이브</x:v>
      </x:c>
    </x:row>
    <x:row r="31" ht="21.600000381469727" hidden="0" customHeight="1">
      <x:c r="A31" s="12" t="str">
        <x:v>WV027</x:v>
      </x:c>
      <x:c r="B31" s="12" t="n">
        <x:v>4</x:v>
      </x:c>
      <x:c r="C31" s="20" t="n">
        <x:v>660</x:v>
      </x:c>
      <x:c r="D31" s="20" t="n">
        <x:v>30</x:v>
      </x:c>
      <x:c r="E31" s="20" t="n">
        <x:f>IF(COUNT(C31:D31)&lt;2,"",C31+D31)</x:f>
        <x:v>690</x:v>
      </x:c>
      <x:c r="F31" s="12" t="str">
        <x:v>일반</x:v>
      </x:c>
      <x:c r="G31" s="20" t="n">
        <x:v>15</x:v>
      </x:c>
      <x:c r="H31" s="12" t="str">
        <x:v>확정</x:v>
      </x:c>
      <x:c r="I31" s="12" t="str"/>
      <x:c r="J31" s="12" t="str">
        <x:v>06 스테이지 및 웨이브</x:v>
      </x:c>
    </x:row>
    <x:row r="32" ht="21.600000381469727" hidden="0" customHeight="1">
      <x:c r="A32" s="12" t="str">
        <x:v>WV028</x:v>
      </x:c>
      <x:c r="B32" s="12" t="n">
        <x:v>4</x:v>
      </x:c>
      <x:c r="C32" s="20" t="n">
        <x:v>660</x:v>
      </x:c>
      <x:c r="D32" s="20" t="n">
        <x:v>50</x:v>
      </x:c>
      <x:c r="E32" s="20" t="n">
        <x:f>IF(COUNT(C32:D32)&lt;2,"",C32+D32)</x:f>
        <x:v>710</x:v>
      </x:c>
      <x:c r="F32" s="12" t="str">
        <x:v>일반</x:v>
      </x:c>
      <x:c r="G32" s="20" t="n">
        <x:v>15</x:v>
      </x:c>
      <x:c r="H32" s="12" t="str">
        <x:v>확정</x:v>
      </x:c>
      <x:c r="I32" s="12" t="str"/>
      <x:c r="J32" s="12" t="str">
        <x:v>06 스테이지 및 웨이브</x:v>
      </x:c>
    </x:row>
    <x:row r="33" ht="21.600000381469727" hidden="0" customHeight="1">
      <x:c r="A33" s="12" t="str">
        <x:v>WV029</x:v>
      </x:c>
      <x:c r="B33" s="12" t="n">
        <x:v>4</x:v>
      </x:c>
      <x:c r="C33" s="20" t="n">
        <x:v>660</x:v>
      </x:c>
      <x:c r="D33" s="20" t="n">
        <x:v>70</x:v>
      </x:c>
      <x:c r="E33" s="20" t="n">
        <x:f>IF(COUNT(C33:D33)&lt;2,"",C33+D33)</x:f>
        <x:v>730</x:v>
      </x:c>
      <x:c r="F33" s="12" t="str">
        <x:v>일반</x:v>
      </x:c>
      <x:c r="G33" s="20" t="n">
        <x:v>15</x:v>
      </x:c>
      <x:c r="H33" s="12" t="str">
        <x:v>확정</x:v>
      </x:c>
      <x:c r="I33" s="12" t="str"/>
      <x:c r="J33" s="12" t="str">
        <x:v>06 스테이지 및 웨이브</x:v>
      </x:c>
    </x:row>
    <x:row r="34" ht="21.600000381469727" hidden="0" customHeight="1">
      <x:c r="A34" s="12" t="str">
        <x:v>WV030</x:v>
      </x:c>
      <x:c r="B34" s="12" t="n">
        <x:v>4</x:v>
      </x:c>
      <x:c r="C34" s="20" t="n">
        <x:v>660</x:v>
      </x:c>
      <x:c r="D34" s="20" t="n">
        <x:v>90</x:v>
      </x:c>
      <x:c r="E34" s="20" t="n">
        <x:f>IF(COUNT(C34:D34)&lt;2,"",C34+D34)</x:f>
        <x:v>750</x:v>
      </x:c>
      <x:c r="F34" s="12" t="str">
        <x:v>정예</x:v>
      </x:c>
      <x:c r="G34" s="20" t="n">
        <x:v>6</x:v>
      </x:c>
      <x:c r="H34" s="12" t="str">
        <x:v>확정</x:v>
      </x:c>
      <x:c r="I34" s="12" t="str"/>
      <x:c r="J34" s="12" t="str">
        <x:v>06 스테이지 및 웨이브</x:v>
      </x:c>
    </x:row>
    <x:row r="35" ht="21.600000381469727" hidden="0" customHeight="1">
      <x:c r="A35" s="12" t="str">
        <x:v>WV031</x:v>
      </x:c>
      <x:c r="B35" s="12" t="n">
        <x:v>4</x:v>
      </x:c>
      <x:c r="C35" s="20" t="n">
        <x:v>660</x:v>
      </x:c>
      <x:c r="D35" s="20" t="n">
        <x:v>100</x:v>
      </x:c>
      <x:c r="E35" s="20" t="n">
        <x:f>IF(COUNT(C35:D35)&lt;2,"",C35+D35)</x:f>
        <x:v>760</x:v>
      </x:c>
      <x:c r="F35" s="12" t="str">
        <x:v>일반</x:v>
      </x:c>
      <x:c r="G35" s="20" t="n">
        <x:v>15</x:v>
      </x:c>
      <x:c r="H35" s="12" t="str">
        <x:v>확정</x:v>
      </x:c>
      <x:c r="I35" s="12" t="str"/>
      <x:c r="J35" s="12" t="str">
        <x:v>06 스테이지 및 웨이브</x:v>
      </x:c>
    </x:row>
    <x:row r="36" ht="21.600000381469727" hidden="0" customHeight="1">
      <x:c r="A36" s="12" t="str">
        <x:v>WV032</x:v>
      </x:c>
      <x:c r="B36" s="12" t="n">
        <x:v>4</x:v>
      </x:c>
      <x:c r="C36" s="20" t="n">
        <x:v>660</x:v>
      </x:c>
      <x:c r="D36" s="20" t="n">
        <x:v>120</x:v>
      </x:c>
      <x:c r="E36" s="20" t="n">
        <x:f>IF(COUNT(C36:D36)&lt;2,"",C36+D36)</x:f>
        <x:v>780</x:v>
      </x:c>
      <x:c r="F36" s="12" t="str">
        <x:v>일반</x:v>
      </x:c>
      <x:c r="G36" s="20" t="n">
        <x:v>15</x:v>
      </x:c>
      <x:c r="H36" s="12" t="str">
        <x:v>확정</x:v>
      </x:c>
      <x:c r="I36" s="12" t="str"/>
      <x:c r="J36" s="12" t="str">
        <x:v>06 스테이지 및 웨이브</x:v>
      </x:c>
    </x:row>
    <x:row r="37" ht="21.600000381469727" hidden="0" customHeight="1">
      <x:c r="A37" s="12" t="str">
        <x:v>WV033</x:v>
      </x:c>
      <x:c r="B37" s="12" t="n">
        <x:v>5</x:v>
      </x:c>
      <x:c r="C37" s="20" t="n">
        <x:v>870</x:v>
      </x:c>
      <x:c r="D37" s="20" t="n">
        <x:v>0</x:v>
      </x:c>
      <x:c r="E37" s="20" t="n">
        <x:f>IF(COUNT(C37:D37)&lt;2,"",C37+D37)</x:f>
        <x:v>870</x:v>
      </x:c>
      <x:c r="F37" s="12" t="str">
        <x:v>일반</x:v>
      </x:c>
      <x:c r="G37" s="20" t="n">
        <x:v>15</x:v>
      </x:c>
      <x:c r="H37" s="12" t="str">
        <x:v>확정</x:v>
      </x:c>
      <x:c r="I37" s="12" t="str"/>
      <x:c r="J37" s="12" t="str">
        <x:v>06 스테이지 및 웨이브</x:v>
      </x:c>
    </x:row>
    <x:row r="38" ht="21.600000381469727" hidden="0" customHeight="1">
      <x:c r="A38" s="12" t="str">
        <x:v>WV034</x:v>
      </x:c>
      <x:c r="B38" s="12" t="n">
        <x:v>5</x:v>
      </x:c>
      <x:c r="C38" s="20" t="n">
        <x:v>870</x:v>
      </x:c>
      <x:c r="D38" s="20" t="n">
        <x:v>20</x:v>
      </x:c>
      <x:c r="E38" s="20" t="n">
        <x:f>IF(COUNT(C38:D38)&lt;2,"",C38+D38)</x:f>
        <x:v>890</x:v>
      </x:c>
      <x:c r="F38" s="12" t="str">
        <x:v>정예</x:v>
      </x:c>
      <x:c r="G38" s="20" t="n">
        <x:v>3</x:v>
      </x:c>
      <x:c r="H38" s="12" t="str">
        <x:v>확정</x:v>
      </x:c>
      <x:c r="I38" s="12" t="str"/>
      <x:c r="J38" s="12" t="str">
        <x:v>06 스테이지 및 웨이브</x:v>
      </x:c>
    </x:row>
    <x:row r="39" ht="21.600000381469727" hidden="0" customHeight="1">
      <x:c r="A39" s="12" t="str">
        <x:v>WV035</x:v>
      </x:c>
      <x:c r="B39" s="12" t="n">
        <x:v>5</x:v>
      </x:c>
      <x:c r="C39" s="20" t="n">
        <x:v>870</x:v>
      </x:c>
      <x:c r="D39" s="20" t="n">
        <x:v>40</x:v>
      </x:c>
      <x:c r="E39" s="20" t="n">
        <x:f>IF(COUNT(C39:D39)&lt;2,"",C39+D39)</x:f>
        <x:v>910</x:v>
      </x:c>
      <x:c r="F39" s="12" t="str">
        <x:v>일반</x:v>
      </x:c>
      <x:c r="G39" s="20" t="n">
        <x:v>15</x:v>
      </x:c>
      <x:c r="H39" s="12" t="str">
        <x:v>확정</x:v>
      </x:c>
      <x:c r="I39" s="12" t="str"/>
      <x:c r="J39" s="12" t="str">
        <x:v>06 스테이지 및 웨이브</x:v>
      </x:c>
    </x:row>
    <x:row r="40" ht="21.600000381469727" hidden="0" customHeight="1">
      <x:c r="A40" s="12" t="str">
        <x:v>WV036</x:v>
      </x:c>
      <x:c r="B40" s="12" t="n">
        <x:v>5</x:v>
      </x:c>
      <x:c r="C40" s="20" t="n">
        <x:v>870</x:v>
      </x:c>
      <x:c r="D40" s="20" t="n">
        <x:v>60</x:v>
      </x:c>
      <x:c r="E40" s="20" t="n">
        <x:f>IF(COUNT(C40:D40)&lt;2,"",C40+D40)</x:f>
        <x:v>930</x:v>
      </x:c>
      <x:c r="F40" s="12" t="str">
        <x:v>정예</x:v>
      </x:c>
      <x:c r="G40" s="20" t="n">
        <x:v>3</x:v>
      </x:c>
      <x:c r="H40" s="12" t="str">
        <x:v>확정</x:v>
      </x:c>
      <x:c r="I40" s="12" t="str"/>
      <x:c r="J40" s="12" t="str">
        <x:v>06 스테이지 및 웨이브</x:v>
      </x:c>
    </x:row>
    <x:row r="41" ht="21.600000381469727" hidden="0" customHeight="1">
      <x:c r="A41" s="12" t="str">
        <x:v>WV037</x:v>
      </x:c>
      <x:c r="B41" s="12" t="n">
        <x:v>5</x:v>
      </x:c>
      <x:c r="C41" s="20" t="n">
        <x:v>870</x:v>
      </x:c>
      <x:c r="D41" s="20" t="n">
        <x:v>80</x:v>
      </x:c>
      <x:c r="E41" s="20" t="n">
        <x:f>IF(COUNT(C41:D41)&lt;2,"",C41+D41)</x:f>
        <x:v>950</x:v>
      </x:c>
      <x:c r="F41" s="12" t="str">
        <x:v>일반</x:v>
      </x:c>
      <x:c r="G41" s="20" t="n">
        <x:v>15</x:v>
      </x:c>
      <x:c r="H41" s="12" t="str">
        <x:v>확정</x:v>
      </x:c>
      <x:c r="I41" s="12" t="str"/>
      <x:c r="J41" s="12" t="str">
        <x:v>06 스테이지 및 웨이브</x:v>
      </x:c>
    </x:row>
    <x:row r="42" ht="21.600000381469727" hidden="0" customHeight="1">
      <x:c r="A42" s="12" t="str">
        <x:v>WV038</x:v>
      </x:c>
      <x:c r="B42" s="12" t="n">
        <x:v>5</x:v>
      </x:c>
      <x:c r="C42" s="20" t="n">
        <x:v>870</x:v>
      </x:c>
      <x:c r="D42" s="20" t="n">
        <x:v>100</x:v>
      </x:c>
      <x:c r="E42" s="20" t="n">
        <x:f>IF(COUNT(C42:D42)&lt;2,"",C42+D42)</x:f>
        <x:v>970</x:v>
      </x:c>
      <x:c r="F42" s="12" t="str">
        <x:v>정예</x:v>
      </x:c>
      <x:c r="G42" s="20" t="n">
        <x:v>3</x:v>
      </x:c>
      <x:c r="H42" s="12" t="str">
        <x:v>확정</x:v>
      </x:c>
      <x:c r="I42" s="12" t="str"/>
      <x:c r="J42" s="12" t="str">
        <x:v>06 스테이지 및 웨이브</x:v>
      </x:c>
    </x:row>
    <x:row r="43" ht="21.600000381469727" hidden="0" customHeight="1">
      <x:c r="A43" s="12" t="str">
        <x:v>WV039</x:v>
      </x:c>
      <x:c r="B43" s="12" t="n">
        <x:v>5</x:v>
      </x:c>
      <x:c r="C43" s="20" t="n">
        <x:v>870</x:v>
      </x:c>
      <x:c r="D43" s="20" t="n">
        <x:v>120</x:v>
      </x:c>
      <x:c r="E43" s="20" t="n">
        <x:f>IF(COUNT(C43:D43)&lt;2,"",C43+D43)</x:f>
        <x:v>990</x:v>
      </x:c>
      <x:c r="F43" s="12" t="str">
        <x:v>일반</x:v>
      </x:c>
      <x:c r="G43" s="20" t="n">
        <x:v>15</x:v>
      </x:c>
      <x:c r="H43" s="12" t="str">
        <x:v>확정</x:v>
      </x:c>
      <x:c r="I43" s="12" t="str"/>
      <x:c r="J43" s="12" t="str">
        <x:v>06 스테이지 및 웨이브</x:v>
      </x:c>
    </x:row>
    <x:row r="44" ht="21.600000381469727" hidden="0" customHeight="1">
      <x:c r="A44" s="12" t="str">
        <x:v>WV040</x:v>
      </x:c>
      <x:c r="B44" s="12" t="n">
        <x:v>5</x:v>
      </x:c>
      <x:c r="C44" s="20" t="n">
        <x:v>870</x:v>
      </x:c>
      <x:c r="D44" s="20" t="n">
        <x:v>140</x:v>
      </x:c>
      <x:c r="E44" s="20" t="n">
        <x:f>IF(COUNT(C44:D44)&lt;2,"",C44+D44)</x:f>
        <x:v>1010</x:v>
      </x:c>
      <x:c r="F44" s="12" t="str">
        <x:v>정예</x:v>
      </x:c>
      <x:c r="G44" s="20" t="n">
        <x:v>6</x:v>
      </x:c>
      <x:c r="H44" s="12" t="str">
        <x:v>확정</x:v>
      </x:c>
      <x:c r="I44" s="12" t="str"/>
      <x:c r="J44" s="12" t="str">
        <x:v>06 스테이지 및 웨이브</x:v>
      </x:c>
    </x:row>
    <x:row r="45" ht="21.600000381469727" hidden="0" customHeight="1">
      <x:c r="A45" s="12" t="str">
        <x:v>WV041</x:v>
      </x:c>
      <x:c r="B45" s="12" t="n">
        <x:v>5</x:v>
      </x:c>
      <x:c r="C45" s="20" t="n">
        <x:v>870</x:v>
      </x:c>
      <x:c r="D45" s="20" t="n">
        <x:v>160</x:v>
      </x:c>
      <x:c r="E45" s="20" t="n">
        <x:f>IF(COUNT(C45:D45)&lt;2,"",C45+D45)</x:f>
        <x:v>1030</x:v>
      </x:c>
      <x:c r="F45" s="12" t="str">
        <x:v>일반</x:v>
      </x:c>
      <x:c r="G45" s="20" t="n">
        <x:v>15</x:v>
      </x:c>
      <x:c r="H45" s="12" t="str">
        <x:v>확정</x:v>
      </x:c>
      <x:c r="I45" s="12" t="str"/>
      <x:c r="J45" s="12" t="str">
        <x:v>06 스테이지 및 웨이브</x:v>
      </x:c>
    </x:row>
    <x:row r="46" ht="21.600000381469727" hidden="0" customHeight="1">
      <x:c r="A46" s="12" t="str">
        <x:v>WV042</x:v>
      </x:c>
      <x:c r="B46" s="12" t="n">
        <x:v>6</x:v>
      </x:c>
      <x:c r="C46" s="20" t="n">
        <x:v>1080</x:v>
      </x:c>
      <x:c r="D46" s="20" t="n">
        <x:v>0</x:v>
      </x:c>
      <x:c r="E46" s="20" t="n">
        <x:f>IF(COUNT(C46:D46)&lt;2,"",C46+D46)</x:f>
        <x:v>1080</x:v>
      </x:c>
      <x:c r="F46" s="12" t="str">
        <x:v>일반</x:v>
      </x:c>
      <x:c r="G46" s="20" t="n">
        <x:v>10</x:v>
      </x:c>
      <x:c r="H46" s="12" t="str">
        <x:v>확정</x:v>
      </x:c>
      <x:c r="I46" s="12" t="str"/>
      <x:c r="J46" s="12" t="str">
        <x:v>06 스테이지 및 웨이브</x:v>
      </x:c>
    </x:row>
    <x:row r="47" ht="21.600000381469727" hidden="0" customHeight="1">
      <x:c r="A47" s="12" t="str">
        <x:v>WV043</x:v>
      </x:c>
      <x:c r="B47" s="12" t="n">
        <x:v>6</x:v>
      </x:c>
      <x:c r="C47" s="20" t="n">
        <x:v>1080</x:v>
      </x:c>
      <x:c r="D47" s="20" t="n">
        <x:v>10</x:v>
      </x:c>
      <x:c r="E47" s="20" t="n">
        <x:f>IF(COUNT(C47:D47)&lt;2,"",C47+D47)</x:f>
        <x:v>1090</x:v>
      </x:c>
      <x:c r="F47" s="12" t="str">
        <x:v>일반</x:v>
      </x:c>
      <x:c r="G47" s="20" t="n">
        <x:v>10</x:v>
      </x:c>
      <x:c r="H47" s="12" t="str">
        <x:v>확정</x:v>
      </x:c>
      <x:c r="I47" s="12" t="str"/>
      <x:c r="J47" s="12" t="str">
        <x:v>06 스테이지 및 웨이브</x:v>
      </x:c>
    </x:row>
    <x:row r="48" ht="21.600000381469727" hidden="0" customHeight="1">
      <x:c r="A48" s="12" t="str">
        <x:v>WV044</x:v>
      </x:c>
      <x:c r="B48" s="12" t="n">
        <x:v>6</x:v>
      </x:c>
      <x:c r="C48" s="20" t="n">
        <x:v>1080</x:v>
      </x:c>
      <x:c r="D48" s="20" t="n">
        <x:v>20</x:v>
      </x:c>
      <x:c r="E48" s="20" t="n">
        <x:f>IF(COUNT(C48:D48)&lt;2,"",C48+D48)</x:f>
        <x:v>1100</x:v>
      </x:c>
      <x:c r="F48" s="12" t="str">
        <x:v>일반</x:v>
      </x:c>
      <x:c r="G48" s="20" t="n">
        <x:v>10</x:v>
      </x:c>
      <x:c r="H48" s="12" t="str">
        <x:v>확정</x:v>
      </x:c>
      <x:c r="I48" s="12" t="str"/>
      <x:c r="J48" s="12" t="str">
        <x:v>06 스테이지 및 웨이브</x:v>
      </x:c>
    </x:row>
    <x:row r="49" ht="21.600000381469727" hidden="0" customHeight="1">
      <x:c r="A49" s="12" t="str">
        <x:v>WV045</x:v>
      </x:c>
      <x:c r="B49" s="12" t="n">
        <x:v>6</x:v>
      </x:c>
      <x:c r="C49" s="20" t="n">
        <x:v>1080</x:v>
      </x:c>
      <x:c r="D49" s="20" t="n">
        <x:v>30</x:v>
      </x:c>
      <x:c r="E49" s="20" t="n">
        <x:f>IF(COUNT(C49:D49)&lt;2,"",C49+D49)</x:f>
        <x:v>1110</x:v>
      </x:c>
      <x:c r="F49" s="12" t="str">
        <x:v>일반</x:v>
      </x:c>
      <x:c r="G49" s="20" t="n">
        <x:v>10</x:v>
      </x:c>
      <x:c r="H49" s="12" t="str">
        <x:v>확정</x:v>
      </x:c>
      <x:c r="I49" s="12" t="str"/>
      <x:c r="J49" s="12" t="str">
        <x:v>06 스테이지 및 웨이브</x:v>
      </x:c>
    </x:row>
    <x:row r="50" ht="21.600000381469727" hidden="0" customHeight="1">
      <x:c r="A50" s="12" t="str">
        <x:v>WV046</x:v>
      </x:c>
      <x:c r="B50" s="12" t="n">
        <x:v>6</x:v>
      </x:c>
      <x:c r="C50" s="20" t="n">
        <x:v>1080</x:v>
      </x:c>
      <x:c r="D50" s="20" t="n">
        <x:v>40</x:v>
      </x:c>
      <x:c r="E50" s="20" t="n">
        <x:f>IF(COUNT(C50:D50)&lt;2,"",C50+D50)</x:f>
        <x:v>1120</x:v>
      </x:c>
      <x:c r="F50" s="12" t="str">
        <x:v>일반</x:v>
      </x:c>
      <x:c r="G50" s="20" t="n">
        <x:v>10</x:v>
      </x:c>
      <x:c r="H50" s="12" t="str">
        <x:v>확정</x:v>
      </x:c>
      <x:c r="I50" s="12" t="str"/>
      <x:c r="J50" s="12" t="str">
        <x:v>06 스테이지 및 웨이브</x:v>
      </x:c>
    </x:row>
    <x:row r="51" ht="21.600000381469727" hidden="0" customHeight="1">
      <x:c r="A51" s="12" t="str">
        <x:v>WV047</x:v>
      </x:c>
      <x:c r="B51" s="12" t="n">
        <x:v>6</x:v>
      </x:c>
      <x:c r="C51" s="20" t="n">
        <x:v>1080</x:v>
      </x:c>
      <x:c r="D51" s="20" t="n">
        <x:v>50</x:v>
      </x:c>
      <x:c r="E51" s="20" t="n">
        <x:f>IF(COUNT(C51:D51)&lt;2,"",C51+D51)</x:f>
        <x:v>1130</x:v>
      </x:c>
      <x:c r="F51" s="12" t="str">
        <x:v>일반</x:v>
      </x:c>
      <x:c r="G51" s="20" t="n">
        <x:v>10</x:v>
      </x:c>
      <x:c r="H51" s="12" t="str">
        <x:v>확정</x:v>
      </x:c>
      <x:c r="I51" s="12" t="str"/>
      <x:c r="J51" s="12" t="str">
        <x:v>06 스테이지 및 웨이브</x:v>
      </x:c>
    </x:row>
    <x:row r="52" ht="21.600000381469727" hidden="0" customHeight="1">
      <x:c r="A52" s="12" t="str">
        <x:v>WV048</x:v>
      </x:c>
      <x:c r="B52" s="12" t="n">
        <x:v>6</x:v>
      </x:c>
      <x:c r="C52" s="20" t="n">
        <x:v>1080</x:v>
      </x:c>
      <x:c r="D52" s="20" t="n">
        <x:v>60</x:v>
      </x:c>
      <x:c r="E52" s="20" t="n">
        <x:f>IF(COUNT(C52:D52)&lt;2,"",C52+D52)</x:f>
        <x:v>1140</x:v>
      </x:c>
      <x:c r="F52" s="12" t="str">
        <x:v>일반</x:v>
      </x:c>
      <x:c r="G52" s="20" t="n">
        <x:v>10</x:v>
      </x:c>
      <x:c r="H52" s="12" t="str">
        <x:v>확정</x:v>
      </x:c>
      <x:c r="I52" s="12" t="str"/>
      <x:c r="J52" s="12" t="str">
        <x:v>06 스테이지 및 웨이브</x:v>
      </x:c>
    </x:row>
    <x:row r="53" ht="21.600000381469727" hidden="0" customHeight="1">
      <x:c r="A53" s="12" t="str">
        <x:v>WV049</x:v>
      </x:c>
      <x:c r="B53" s="12" t="n">
        <x:v>6</x:v>
      </x:c>
      <x:c r="C53" s="20" t="n">
        <x:v>1080</x:v>
      </x:c>
      <x:c r="D53" s="20" t="n">
        <x:v>60</x:v>
      </x:c>
      <x:c r="E53" s="20" t="n">
        <x:f>IF(COUNT(C53:D53)&lt;2,"",C53+D53)</x:f>
        <x:v>1140</x:v>
      </x:c>
      <x:c r="F53" s="12" t="str">
        <x:v>정예</x:v>
      </x:c>
      <x:c r="G53" s="20" t="n">
        <x:v>9</x:v>
      </x:c>
      <x:c r="H53" s="12" t="str">
        <x:v>확정</x:v>
      </x:c>
      <x:c r="I53" s="12" t="str"/>
      <x:c r="J53" s="12" t="str">
        <x:v>06 스테이지 및 웨이브</x:v>
      </x:c>
    </x:row>
    <x:row r="54" ht="21.600000381469727" hidden="0" customHeight="1">
      <x:c r="A54" s="12" t="str">
        <x:v>WV050</x:v>
      </x:c>
      <x:c r="B54" s="12" t="n">
        <x:v>6</x:v>
      </x:c>
      <x:c r="C54" s="20" t="n">
        <x:v>1080</x:v>
      </x:c>
      <x:c r="D54" s="20" t="n">
        <x:v>90</x:v>
      </x:c>
      <x:c r="E54" s="20" t="n">
        <x:f>IF(COUNT(C54:D54)&lt;2,"",C54+D54)</x:f>
        <x:v>1170</x:v>
      </x:c>
      <x:c r="F54" s="12" t="str">
        <x:v>보스</x:v>
      </x:c>
      <x:c r="G54" s="20" t="n">
        <x:v>1</x:v>
      </x:c>
      <x:c r="H54" s="12" t="str">
        <x:v>확정</x:v>
      </x:c>
      <x:c r="I54" s="12" t="str"/>
      <x:c r="J54" s="12" t="str">
        <x:v>06 스테이지 및 웨이브</x:v>
      </x:c>
    </x:row>
    <x:row r="55" ht="21.600000381469727" hidden="0" customHeight="1">
      <x:c r="A55" s="12" t="str">
        <x:v>WV051</x:v>
      </x:c>
      <x:c r="B55" s="12" t="n">
        <x:v>7</x:v>
      </x:c>
      <x:c r="C55" s="20" t="n">
        <x:v>1290</x:v>
      </x:c>
      <x:c r="D55" s="20" t="n">
        <x:v>0</x:v>
      </x:c>
      <x:c r="E55" s="20" t="n">
        <x:f>IF(COUNT(C55:D55)&lt;2,"",C55+D55)</x:f>
        <x:v>1290</x:v>
      </x:c>
      <x:c r="F55" s="12" t="str">
        <x:v>정예</x:v>
      </x:c>
      <x:c r="G55" s="20" t="n">
        <x:v>15</x:v>
      </x:c>
      <x:c r="H55" s="12" t="str">
        <x:v>확정</x:v>
      </x:c>
      <x:c r="I55" s="12" t="str"/>
      <x:c r="J55" s="12" t="str">
        <x:v>06 스테이지 및 웨이브</x:v>
      </x:c>
    </x:row>
    <x:row r="56" ht="21.600000381469727" hidden="0" customHeight="1">
      <x:c r="A56" s="12" t="str">
        <x:v>WV052</x:v>
      </x:c>
      <x:c r="B56" s="12" t="n">
        <x:v>7</x:v>
      </x:c>
      <x:c r="C56" s="20" t="n">
        <x:v>1290</x:v>
      </x:c>
      <x:c r="D56" s="20" t="n">
        <x:v>30</x:v>
      </x:c>
      <x:c r="E56" s="20" t="n">
        <x:f>IF(COUNT(C56:D56)&lt;2,"",C56+D56)</x:f>
        <x:v>1320</x:v>
      </x:c>
      <x:c r="F56" s="12" t="str">
        <x:v>일반</x:v>
      </x:c>
      <x:c r="G56" s="20" t="n">
        <x:v>5</x:v>
      </x:c>
      <x:c r="H56" s="12" t="str">
        <x:v>확정</x:v>
      </x:c>
      <x:c r="I56" s="12" t="str"/>
      <x:c r="J56" s="12" t="str">
        <x:v>06 스테이지 및 웨이브</x:v>
      </x:c>
    </x:row>
    <x:row r="57" ht="21.600000381469727" hidden="0" customHeight="1">
      <x:c r="A57" s="12" t="str">
        <x:v>WV053</x:v>
      </x:c>
      <x:c r="B57" s="12" t="n">
        <x:v>7</x:v>
      </x:c>
      <x:c r="C57" s="20" t="n">
        <x:v>1290</x:v>
      </x:c>
      <x:c r="D57" s="20" t="n">
        <x:v>60</x:v>
      </x:c>
      <x:c r="E57" s="20" t="n">
        <x:f>IF(COUNT(C57:D57)&lt;2,"",C57+D57)</x:f>
        <x:v>1350</x:v>
      </x:c>
      <x:c r="F57" s="12" t="str">
        <x:v>일반</x:v>
      </x:c>
      <x:c r="G57" s="20" t="n">
        <x:v>5</x:v>
      </x:c>
      <x:c r="H57" s="12" t="str">
        <x:v>확정</x:v>
      </x:c>
      <x:c r="I57" s="12" t="str"/>
      <x:c r="J57" s="12" t="str">
        <x:v>06 스테이지 및 웨이브</x:v>
      </x:c>
    </x:row>
    <x:row r="58" ht="21.600000381469727" hidden="0" customHeight="1">
      <x:c r="A58" s="12" t="str">
        <x:v>WV054</x:v>
      </x:c>
      <x:c r="B58" s="12" t="n">
        <x:v>7</x:v>
      </x:c>
      <x:c r="C58" s="20" t="n">
        <x:v>1290</x:v>
      </x:c>
      <x:c r="D58" s="20" t="n">
        <x:v>90</x:v>
      </x:c>
      <x:c r="E58" s="20" t="n">
        <x:f>IF(COUNT(C58:D58)&lt;2,"",C58+D58)</x:f>
        <x:v>1380</x:v>
      </x:c>
      <x:c r="F58" s="12" t="str">
        <x:v>일반</x:v>
      </x:c>
      <x:c r="G58" s="20" t="n">
        <x:v>5</x:v>
      </x:c>
      <x:c r="H58" s="12" t="str">
        <x:v>확정</x:v>
      </x:c>
      <x:c r="I58" s="12" t="str"/>
      <x:c r="J58" s="12" t="str">
        <x:v>06 스테이지 및 웨이브</x:v>
      </x:c>
    </x:row>
    <x:row r="59" ht="21.600000381469727" hidden="0" customHeight="1">
      <x:c r="A59" s="12" t="str">
        <x:v>WV055</x:v>
      </x:c>
      <x:c r="B59" s="12" t="n">
        <x:v>7</x:v>
      </x:c>
      <x:c r="C59" s="20" t="n">
        <x:v>1290</x:v>
      </x:c>
      <x:c r="D59" s="20" t="n">
        <x:v>90</x:v>
      </x:c>
      <x:c r="E59" s="20" t="n">
        <x:f>IF(COUNT(C59:D59)&lt;2,"",C59+D59)</x:f>
        <x:v>1380</x:v>
      </x:c>
      <x:c r="F59" s="12" t="str">
        <x:v>정예</x:v>
      </x:c>
      <x:c r="G59" s="20" t="n">
        <x:v>12</x:v>
      </x:c>
      <x:c r="H59" s="12" t="str">
        <x:v>확정</x:v>
      </x:c>
      <x:c r="I59" s="12" t="str"/>
      <x:c r="J59" s="12" t="str">
        <x:v>06 스테이지 및 웨이브</x:v>
      </x:c>
    </x:row>
    <x:row r="60" ht="21.600000381469727" hidden="0" customHeight="1">
      <x:c r="A60" s="12" t="str">
        <x:v>WV056</x:v>
      </x:c>
      <x:c r="B60" s="12" t="n">
        <x:v>7</x:v>
      </x:c>
      <x:c r="C60" s="20" t="n">
        <x:v>1290</x:v>
      </x:c>
      <x:c r="D60" s="20" t="n">
        <x:v>120</x:v>
      </x:c>
      <x:c r="E60" s="20" t="n">
        <x:f>IF(COUNT(C60:D60)&lt;2,"",C60+D60)</x:f>
        <x:v>1410</x:v>
      </x:c>
      <x:c r="F60" s="12" t="str">
        <x:v>일반</x:v>
      </x:c>
      <x:c r="G60" s="20" t="n">
        <x:v>5</x:v>
      </x:c>
      <x:c r="H60" s="12" t="str">
        <x:v>확정</x:v>
      </x:c>
      <x:c r="I60" s="12" t="str"/>
      <x:c r="J60" s="12" t="str">
        <x:v>06 스테이지 및 웨이브</x:v>
      </x:c>
    </x:row>
    <x:row r="61" ht="21.600000381469727" hidden="0" customHeight="1">
      <x:c r="A61" s="12" t="str">
        <x:v>WV057</x:v>
      </x:c>
      <x:c r="B61" s="12" t="n">
        <x:v>7</x:v>
      </x:c>
      <x:c r="C61" s="20" t="n">
        <x:v>1290</x:v>
      </x:c>
      <x:c r="D61" s="20" t="n">
        <x:v>150</x:v>
      </x:c>
      <x:c r="E61" s="20" t="n">
        <x:f>IF(COUNT(C61:D61)&lt;2,"",C61+D61)</x:f>
        <x:v>1440</x:v>
      </x:c>
      <x:c r="F61" s="12" t="str">
        <x:v>일반</x:v>
      </x:c>
      <x:c r="G61" s="20" t="n">
        <x:v>5</x:v>
      </x:c>
      <x:c r="H61" s="12" t="str">
        <x:v>확정</x:v>
      </x:c>
      <x:c r="I61" s="12" t="str"/>
      <x:c r="J61" s="12" t="str">
        <x:v>06 스테이지 및 웨이브</x:v>
      </x:c>
    </x:row>
    <x:row r="62" ht="21.600000381469727" hidden="0" customHeight="1">
      <x:c r="A62" s="12" t="str">
        <x:v>WV058</x:v>
      </x:c>
      <x:c r="B62" s="12" t="n">
        <x:v>8</x:v>
      </x:c>
      <x:c r="C62" s="20" t="n">
        <x:v>1500</x:v>
      </x:c>
      <x:c r="D62" s="20"/>
      <x:c r="E62" s="20" t="str">
        <x:f>IF(COUNT(C62:D62)&lt;2,"",C62+D62)</x:f>
      </x:c>
      <x:c r="F62" s="12"/>
      <x:c r="G62" s="20"/>
      <x:c r="H62" s="12" t="str">
        <x:v>추후 입력</x:v>
      </x:c>
      <x:c r="I62" s="12" t="str">
        <x:v>구성 공란</x:v>
      </x:c>
      <x:c r="J62" s="12" t="str">
        <x:v>06 스테이지 및 웨이브</x:v>
      </x:c>
    </x:row>
    <x:row r="63" ht="21.600000381469727" hidden="0" customHeight="1">
      <x:c r="A63" s="12" t="str">
        <x:v>WV059</x:v>
      </x:c>
      <x:c r="B63" s="12" t="n">
        <x:v>9</x:v>
      </x:c>
      <x:c r="C63" s="20" t="n">
        <x:v>1710</x:v>
      </x:c>
      <x:c r="D63" s="20"/>
      <x:c r="E63" s="20" t="str">
        <x:f>IF(COUNT(C63:D63)&lt;2,"",C63+D63)</x:f>
      </x:c>
      <x:c r="F63" s="12"/>
      <x:c r="G63" s="20"/>
      <x:c r="H63" s="12" t="str">
        <x:v>추후 입력</x:v>
      </x:c>
      <x:c r="I63" s="12" t="str">
        <x:v>구성 공란</x:v>
      </x:c>
      <x:c r="J63" s="12" t="str">
        <x:v>06 스테이지 및 웨이브</x:v>
      </x:c>
    </x:row>
    <x:row r="64" ht="21.600000381469727" hidden="0" customHeight="1">
      <x:c r="A64" s="12" t="str">
        <x:v>WV060</x:v>
      </x:c>
      <x:c r="B64" s="12" t="n">
        <x:v>10</x:v>
      </x:c>
      <x:c r="C64" s="20" t="n">
        <x:v>1920</x:v>
      </x:c>
      <x:c r="D64" s="20"/>
      <x:c r="E64" s="20" t="str">
        <x:f>IF(COUNT(C64:D64)&lt;2,"",C64+D64)</x:f>
      </x:c>
      <x:c r="F64" s="12"/>
      <x:c r="G64" s="20"/>
      <x:c r="H64" s="12" t="str">
        <x:v>추후 입력</x:v>
      </x:c>
      <x:c r="I64" s="12" t="str">
        <x:v>구성 공란</x:v>
      </x:c>
      <x:c r="J64" s="12" t="str">
        <x:v>06 스테이지 및 웨이브</x:v>
      </x:c>
    </x:row>
    <x:row r="65"/>
    <x:row r="66"/>
    <x:row r="67" ht="15" hidden="0" customHeight="1">
      <x:c r="A67" s="27" t="str">
        <x:v>ID</x:v>
      </x:c>
      <x:c r="B67" s="27" t="str">
        <x:v>절대 시각</x:v>
      </x:c>
      <x:c r="C67" s="27" t="str">
        <x:v>분류</x:v>
      </x:c>
      <x:c r="D67" s="27" t="str">
        <x:v>단계</x:v>
      </x:c>
      <x:c r="E67" s="27" t="str">
        <x:v>변화</x:v>
      </x:c>
      <x:c r="F67" s="27" t="str">
        <x:v>상태</x:v>
      </x:c>
      <x:c r="G67" s="27" t="str">
        <x:v>기준 문서</x:v>
      </x:c>
    </x:row>
    <x:row r="68" ht="21.600000381469727" hidden="0" customHeight="1">
      <x:c r="A68" s="12" t="str">
        <x:v>MS001</x:v>
      </x:c>
      <x:c r="B68" s="12" t="n">
        <x:v>635</x:v>
      </x:c>
      <x:c r="C68" s="12" t="str">
        <x:v>트랙</x:v>
      </x:c>
      <x:c r="D68" s="12" t="n">
        <x:v>2</x:v>
      </x:c>
      <x:c r="E68" s="12" t="str">
        <x:v>트랙 확장, 겹친 타워 불능</x:v>
      </x:c>
      <x:c r="F68" s="12" t="str">
        <x:v>확정</x:v>
      </x:c>
      <x:c r="G68" s="12" t="str">
        <x:v>06 스테이지 및 웨이브</x:v>
      </x:c>
    </x:row>
    <x:row r="69" ht="21.600000381469727" hidden="0" customHeight="1">
      <x:c r="A69" s="12" t="str">
        <x:v>MS002</x:v>
      </x:c>
      <x:c r="B69" s="12" t="n">
        <x:v>1265</x:v>
      </x:c>
      <x:c r="C69" s="12" t="str">
        <x:v>트랙</x:v>
      </x:c>
      <x:c r="D69" s="12" t="n">
        <x:v>3</x:v>
      </x:c>
      <x:c r="E69" s="12" t="str">
        <x:v>트랙 확장, 겹친 타워 불능</x:v>
      </x:c>
      <x:c r="F69" s="12" t="str">
        <x:v>확정</x:v>
      </x:c>
      <x:c r="G69" s="12" t="str">
        <x:v>06 스테이지 및 웨이브</x:v>
      </x:c>
    </x:row>
    <x:row r="70" ht="21.600000381469727" hidden="0" customHeight="1">
      <x:c r="A70" s="12" t="str">
        <x:v>MS003</x:v>
      </x:c>
      <x:c r="B70" s="12" t="n">
        <x:v>1895</x:v>
      </x:c>
      <x:c r="C70" s="12" t="str">
        <x:v>트랙</x:v>
      </x:c>
      <x:c r="D70" s="12" t="n">
        <x:v>4</x:v>
      </x:c>
      <x:c r="E70" s="12" t="str">
        <x:v>트랙 확장, 겹친 타워 불능</x:v>
      </x:c>
      <x:c r="F70" s="12" t="str">
        <x:v>확정</x:v>
      </x:c>
      <x:c r="G70" s="12" t="str">
        <x:v>06 스테이지 및 웨이브</x:v>
      </x:c>
    </x:row>
    <x:row r="71" ht="32.400001525878906" hidden="0" customHeight="1">
      <x:c r="A71" s="12" t="str">
        <x:v>MS004</x:v>
      </x:c>
      <x:c r="B71" s="12" t="n">
        <x:v>900</x:v>
      </x:c>
      <x:c r="C71" s="12" t="str">
        <x:v>난이도</x:v>
      </x:c>
      <x:c r="D71" s="12" t="n">
        <x:v>2</x:v>
      </x:c>
      <x:c r="E71" s="12" t="str">
        <x:v>외부 수량 완화, 5웨이브 이후 내부 강화</x:v>
      </x:c>
      <x:c r="F71" s="12" t="str">
        <x:v>확정</x:v>
      </x:c>
      <x:c r="G71" s="12" t="str">
        <x:v>06 스테이지 및 웨이브</x:v>
      </x:c>
    </x:row>
    <x:row r="72" ht="32.400001525878906" hidden="0" customHeight="1">
      <x:c r="A72" s="12" t="str">
        <x:v>MS005</x:v>
      </x:c>
      <x:c r="B72" s="12" t="n">
        <x:v>1500</x:v>
      </x:c>
      <x:c r="C72" s="12" t="str">
        <x:v>난이도</x:v>
      </x:c>
      <x:c r="D72" s="12" t="n">
        <x:v>3</x:v>
      </x:c>
      <x:c r="E72" s="12" t="str">
        <x:v>외부 레벨 약화, 8웨이브 이후 내부 강화</x:v>
      </x:c>
      <x:c r="F72" s="12" t="str">
        <x:v>확정</x:v>
      </x:c>
      <x:c r="G72" s="12" t="str">
        <x:v>06 스테이지 및 웨이브</x:v>
      </x:c>
    </x:row>
    <x:row r="73" ht="32.400001525878906" hidden="0" customHeight="1">
      <x:c r="A73" s="12" t="str">
        <x:v>MS006</x:v>
      </x:c>
      <x:c r="B73" s="12" t="n">
        <x:v>2100</x:v>
      </x:c>
      <x:c r="C73" s="12" t="str">
        <x:v>난이도</x:v>
      </x:c>
      <x:c r="D73" s="12" t="n">
        <x:v>4</x:v>
      </x:c>
      <x:c r="E73" s="12" t="str">
        <x:v>외부 강화, 11웨이브부터 매 라운드 내부 강화</x:v>
      </x:c>
      <x:c r="F73" s="12" t="str">
        <x:v>확정</x:v>
      </x:c>
      <x:c r="G73" s="12" t="str">
        <x:v>06 스테이지 및 웨이브</x:v>
      </x:c>
    </x:row>
  </x:sheetData>
  <x:mergeCells>
    <x:mergeCell ref="A1:J1"/>
    <x:mergeCell ref="A2:J2"/>
  </x:mergeCells>
  <x:conditionalFormatting sqref="H5:H64">
    <x:cfRule type="containsText" dxfId="70" priority="1" operator="containsText" text="확정"/>
    <x:cfRule type="containsText" dxfId="71" priority="2" operator="containsText" text="임시"/>
    <x:cfRule type="containsText" dxfId="72" priority="3" operator="containsText" text="질문 필요"/>
    <x:cfRule type="containsText" dxfId="73" priority="4" operator="containsText" text="추후 입력"/>
    <x:cfRule type="containsText" dxfId="74" priority="5" operator="containsText" text="보류"/>
  </x:conditionalFormatting>
  <x:conditionalFormatting sqref="F68:F73">
    <x:cfRule type="containsText" dxfId="75" priority="6" operator="containsText" text="확정"/>
    <x:cfRule type="containsText" dxfId="76" priority="7" operator="containsText" text="임시"/>
    <x:cfRule type="containsText" dxfId="77" priority="8" operator="containsText" text="질문 필요"/>
    <x:cfRule type="containsText" dxfId="78" priority="9" operator="containsText" text="추후 입력"/>
    <x:cfRule type="containsText" dxfId="79" priority="10" operator="containsText" text="보류"/>
  </x:conditionalFormatting>
  <x:dataValidations count="2">
    <x:dataValidation type="list" sqref="H5:H64">
      <x:formula1>"확정,임시,질문 필요,추후 입력,보류"</x:formula1>
    </x:dataValidation>
    <x:dataValidation type="list" sqref="F68:F73">
      <x:formula1>"확정,임시,질문 필요,추후 입력,보류"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ca36046a4b2b4285"/>
    <x:tablePart xmlns:r="http://schemas.openxmlformats.org/officeDocument/2006/relationships" r:id="R130fa48518a64b3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8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6" hidden="0" customWidth="1"/>
    <x:col min="10" max="10" width="12" hidden="0" customWidth="1"/>
    <x:col min="11" max="11" width="14" hidden="0" customWidth="1"/>
    <x:col min="12" max="12" width="34" hidden="0" customWidth="1"/>
  </x:cols>
  <x:sheetData>
    <x:row r="1" ht="19.200000762939453" hidden="0" customHeight="1">
      <x:c r="A1" s="3" t="str">
        <x:v>Map — 지역과 배치 데이터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15" hidden="0" customHeight="1">
      <x:c r="A2" s="7" t="str">
        <x:v>지역의 상세 행동은 04·05 기획서를 기준으로 합니다. 스테이지별 생성 수량과 거리 제한은 이 시트에서 조정합니다.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3"/>
    <x:row r="4" ht="15" hidden="0" customHeight="1">
      <x:c r="A4" s="14" t="str">
        <x:v>ID</x:v>
      </x:c>
      <x:c r="B4" s="14" t="str">
        <x:v>스테이지</x:v>
      </x:c>
      <x:c r="C4" s="14" t="str">
        <x:v>테마</x:v>
      </x:c>
      <x:c r="D4" s="14" t="str">
        <x:v>자연 지형</x:v>
      </x:c>
      <x:c r="E4" s="14" t="str">
        <x:v>벌레지옥</x:v>
      </x:c>
      <x:c r="F4" s="14" t="str">
        <x:v>관문 후보</x:v>
      </x:c>
      <x:c r="G4" s="14" t="str">
        <x:v>성소 최소</x:v>
      </x:c>
      <x:c r="H4" s="14" t="str">
        <x:v>성소 최대</x:v>
      </x:c>
      <x:c r="I4" s="14" t="str">
        <x:v>섹터 형태</x:v>
      </x:c>
      <x:c r="J4" s="14" t="str">
        <x:v>섹터 수</x:v>
      </x:c>
      <x:c r="K4" s="14" t="str">
        <x:v>상태</x:v>
      </x:c>
      <x:c r="L4" s="14" t="str">
        <x:v>메모</x:v>
      </x:c>
    </x:row>
    <x:row r="5" ht="15" hidden="0" customHeight="1">
      <x:c r="A5" s="12" t="str">
        <x:v>MP001</x:v>
      </x:c>
      <x:c r="B5" s="12" t="n">
        <x:v>1</x:v>
      </x:c>
      <x:c r="C5" s="12" t="str">
        <x:v>모래사막</x:v>
      </x:c>
      <x:c r="D5" s="12" t="n">
        <x:v>18</x:v>
      </x:c>
      <x:c r="E5" s="12" t="n">
        <x:v>12</x:v>
      </x:c>
      <x:c r="F5" s="12" t="n">
        <x:v>16</x:v>
      </x:c>
      <x:c r="G5" s="12" t="n">
        <x:v>5</x:v>
      </x:c>
      <x:c r="H5" s="12" t="n">
        <x:v>10</x:v>
      </x:c>
      <x:c r="I5" s="12" t="str">
        <x:v>정사각형</x:v>
      </x:c>
      <x:c r="J5" s="12"/>
      <x:c r="K5" s="12" t="str">
        <x:v>임시</x:v>
      </x:c>
      <x:c r="L5" s="12" t="str">
        <x:v>자연 지형 섹터당 1개</x:v>
      </x:c>
    </x:row>
    <x:row r="6" ht="15" hidden="0" customHeight="1">
      <x:c r="A6" s="12" t="str">
        <x:v>MP002</x:v>
      </x:c>
      <x:c r="B6" s="12" t="n">
        <x:v>2</x:v>
      </x:c>
      <x:c r="C6" s="12" t="str">
        <x:v>빙하설원</x:v>
      </x:c>
      <x:c r="D6" s="12"/>
      <x:c r="E6" s="12"/>
      <x:c r="F6" s="12" t="n">
        <x:v>16</x:v>
      </x:c>
      <x:c r="G6" s="12" t="n">
        <x:v>5</x:v>
      </x:c>
      <x:c r="H6" s="12" t="n">
        <x:v>10</x:v>
      </x:c>
      <x:c r="I6" s="12" t="str">
        <x:v>정사각형</x:v>
      </x:c>
      <x:c r="J6" s="12"/>
      <x:c r="K6" s="12" t="str">
        <x:v>질문 필요</x:v>
      </x:c>
      <x:c r="L6" s="12" t="str">
        <x:v>자연 지형 크기·수 증가</x:v>
      </x:c>
    </x:row>
    <x:row r="7" ht="15" hidden="0" customHeight="1">
      <x:c r="A7" s="12" t="str">
        <x:v>MP003</x:v>
      </x:c>
      <x:c r="B7" s="12" t="n">
        <x:v>3</x:v>
      </x:c>
      <x:c r="C7" s="12" t="str">
        <x:v>화산지대</x:v>
      </x:c>
      <x:c r="D7" s="12"/>
      <x:c r="E7" s="12"/>
      <x:c r="F7" s="12" t="n">
        <x:v>16</x:v>
      </x:c>
      <x:c r="G7" s="12" t="n">
        <x:v>5</x:v>
      </x:c>
      <x:c r="H7" s="12" t="n">
        <x:v>10</x:v>
      </x:c>
      <x:c r="I7" s="12" t="str">
        <x:v>정사각형</x:v>
      </x:c>
      <x:c r="J7" s="12"/>
      <x:c r="K7" s="12" t="str">
        <x:v>질문 필요</x:v>
      </x:c>
      <x:c r="L7" s="12" t="str">
        <x:v>벌레지옥 수 크게 증가</x:v>
      </x:c>
    </x:row>
    <x:row r="8"/>
    <x:row r="9"/>
    <x:row r="10"/>
    <x:row r="11" ht="15" hidden="0" customHeight="1">
      <x:c r="A11" s="23" t="str">
        <x:v>ID</x:v>
      </x:c>
      <x:c r="B11" s="23" t="str">
        <x:v>대상</x:v>
      </x:c>
      <x:c r="C11" s="23" t="str">
        <x:v>기준 대상</x:v>
      </x:c>
      <x:c r="D11" s="23" t="str">
        <x:v>최소 거리</x:v>
      </x:c>
      <x:c r="E11" s="23" t="str">
        <x:v>단위</x:v>
      </x:c>
      <x:c r="F11" s="23" t="str">
        <x:v>상태</x:v>
      </x:c>
      <x:c r="G11" s="23" t="str">
        <x:v>기준 문서</x:v>
      </x:c>
      <x:c r="H11" s="23" t="str">
        <x:v>메모</x:v>
      </x:c>
    </x:row>
    <x:row r="12" ht="15" hidden="0" customHeight="1">
      <x:c r="A12" s="12" t="str">
        <x:v>MR001</x:v>
      </x:c>
      <x:c r="B12" s="12" t="str">
        <x:v>벌레지옥</x:v>
      </x:c>
      <x:c r="C12" s="12" t="str">
        <x:v>시작 영역</x:v>
      </x:c>
      <x:c r="D12" s="12" t="n">
        <x:v>1</x:v>
      </x:c>
      <x:c r="E12" s="12" t="str">
        <x:v>섹터</x:v>
      </x:c>
      <x:c r="F12" s="12" t="str">
        <x:v>확정</x:v>
      </x:c>
      <x:c r="G12" s="12" t="str">
        <x:v>05 맵 및 레벨 디자인</x:v>
      </x:c>
      <x:c r="H12" s="12" t="str"/>
    </x:row>
    <x:row r="13" ht="15" hidden="0" customHeight="1">
      <x:c r="A13" s="12" t="str">
        <x:v>MR002</x:v>
      </x:c>
      <x:c r="B13" s="12" t="str">
        <x:v>벌레지옥</x:v>
      </x:c>
      <x:c r="C13" s="12" t="str">
        <x:v>다른 벌레지옥</x:v>
      </x:c>
      <x:c r="D13" s="12" t="n">
        <x:v>5</x:v>
      </x:c>
      <x:c r="E13" s="12" t="str">
        <x:v>타일</x:v>
      </x:c>
      <x:c r="F13" s="12" t="str">
        <x:v>확정</x:v>
      </x:c>
      <x:c r="G13" s="12" t="str">
        <x:v>05 맵 및 레벨 디자인</x:v>
      </x:c>
      <x:c r="H13" s="12" t="str"/>
    </x:row>
    <x:row r="14" ht="15" hidden="0" customHeight="1">
      <x:c r="A14" s="12" t="str">
        <x:v>MR003</x:v>
      </x:c>
      <x:c r="B14" s="12" t="str">
        <x:v>벌레지옥</x:v>
      </x:c>
      <x:c r="C14" s="12" t="str">
        <x:v>성역</x:v>
      </x:c>
      <x:c r="D14" s="12" t="n">
        <x:v>0</x:v>
      </x:c>
      <x:c r="E14" s="12" t="str">
        <x:v>겹침 금지</x:v>
      </x:c>
      <x:c r="F14" s="12" t="str">
        <x:v>확정</x:v>
      </x:c>
      <x:c r="G14" s="12" t="str">
        <x:v>05 맵 및 레벨 디자인</x:v>
      </x:c>
      <x:c r="H14" s="12" t="str"/>
    </x:row>
    <x:row r="15" ht="15" hidden="0" customHeight="1">
      <x:c r="A15" s="12" t="str">
        <x:v>MR004</x:v>
      </x:c>
      <x:c r="B15" s="12" t="str">
        <x:v>자원</x:v>
      </x:c>
      <x:c r="C15" s="12" t="str">
        <x:v>모든 대상</x:v>
      </x:c>
      <x:c r="D15" s="12" t="n">
        <x:v>0</x:v>
      </x:c>
      <x:c r="E15" s="12" t="str">
        <x:v>제한 없음</x:v>
      </x:c>
      <x:c r="F15" s="12" t="str">
        <x:v>확정</x:v>
      </x:c>
      <x:c r="G15" s="12" t="str">
        <x:v>05 맵 및 레벨 디자인</x:v>
      </x:c>
      <x:c r="H15" s="12" t="str"/>
    </x:row>
    <x:row r="16" ht="15" hidden="0" customHeight="1">
      <x:c r="A16" s="12" t="str">
        <x:v>MR005</x:v>
      </x:c>
      <x:c r="B16" s="12" t="str">
        <x:v>자연 지형</x:v>
      </x:c>
      <x:c r="C16" s="12" t="str">
        <x:v>섹터</x:v>
      </x:c>
      <x:c r="D16" s="12" t="n">
        <x:v>1</x:v>
      </x:c>
      <x:c r="E16" s="12" t="str">
        <x:v>개/섹터</x:v>
      </x:c>
      <x:c r="F16" s="12" t="str">
        <x:v>확정</x:v>
      </x:c>
      <x:c r="G16" s="12" t="str">
        <x:v>05 맵 및 레벨 디자인</x:v>
      </x:c>
      <x:c r="H16" s="12" t="str">
        <x:v>1스테이지 기준</x:v>
      </x:c>
    </x:row>
    <x:row r="17"/>
    <x:row r="18"/>
    <x:row r="19"/>
    <x:row r="20" ht="15" hidden="0" customHeight="1">
      <x:c r="A20" s="27" t="str">
        <x:v>ID</x:v>
      </x:c>
      <x:c r="B20" s="27" t="str">
        <x:v>성소</x:v>
      </x:c>
      <x:c r="C20" s="27" t="str">
        <x:v>즉시 수치</x:v>
      </x:c>
      <x:c r="D20" s="27" t="str">
        <x:v>단위</x:v>
      </x:c>
      <x:c r="E20" s="27" t="str">
        <x:v>지속시간</x:v>
      </x:c>
      <x:c r="F20" s="27" t="str">
        <x:v>최대 이용</x:v>
      </x:c>
      <x:c r="G20" s="27" t="str">
        <x:v>상태</x:v>
      </x:c>
      <x:c r="H20" s="27" t="str">
        <x:v>기준 문서</x:v>
      </x:c>
      <x:c r="I20" s="27" t="str">
        <x:v>메모</x:v>
      </x:c>
    </x:row>
    <x:row r="21" ht="21.600000381469727" hidden="0" customHeight="1">
      <x:c r="A21" s="12" t="n">
        <x:v>4006</x:v>
      </x:c>
      <x:c r="B21" s="12" t="str">
        <x:v>오아시스</x:v>
      </x:c>
      <x:c r="C21" s="12" t="n">
        <x:v>60</x:v>
      </x:c>
      <x:c r="D21" s="12" t="str">
        <x:v>HP 회복</x:v>
      </x:c>
      <x:c r="E21" s="12"/>
      <x:c r="F21" s="12"/>
      <x:c r="G21" s="12" t="str">
        <x:v>질문 필요</x:v>
      </x:c>
      <x:c r="H21" s="12" t="str">
        <x:v>05 맵 및 레벨 디자인</x:v>
      </x:c>
      <x:c r="I21" s="12" t="str">
        <x:v>즉시 보상 뒤 소멸 시점 질문</x:v>
      </x:c>
    </x:row>
    <x:row r="22" ht="15" hidden="0" customHeight="1">
      <x:c r="A22" s="12" t="n">
        <x:v>4007</x:v>
      </x:c>
      <x:c r="B22" s="12" t="str">
        <x:v>사원</x:v>
      </x:c>
      <x:c r="C22" s="12" t="n">
        <x:v>1</x:v>
      </x:c>
      <x:c r="D22" s="12" t="str">
        <x:v>아이템 또는 무기</x:v>
      </x:c>
      <x:c r="E22" s="12"/>
      <x:c r="F22" s="12"/>
      <x:c r="G22" s="12" t="str">
        <x:v>질문 필요</x:v>
      </x:c>
      <x:c r="H22" s="12" t="str">
        <x:v>05 맵 및 레벨 디자인</x:v>
      </x:c>
      <x:c r="I22" s="12" t="str">
        <x:v>해금 무관</x:v>
      </x:c>
    </x:row>
    <x:row r="23" ht="15" hidden="0" customHeight="1">
      <x:c r="A23" s="12" t="n">
        <x:v>4008</x:v>
      </x:c>
      <x:c r="B23" s="12" t="str">
        <x:v>제단</x:v>
      </x:c>
      <x:c r="C23" s="12"/>
      <x:c r="D23" s="12" t="str">
        <x:v>각성</x:v>
      </x:c>
      <x:c r="E23" s="12" t="n">
        <x:v>30</x:v>
      </x:c>
      <x:c r="F23" s="12"/>
      <x:c r="G23" s="12" t="str">
        <x:v>확정</x:v>
      </x:c>
      <x:c r="H23" s="12" t="str">
        <x:v>05 맵 및 레벨 디자인</x:v>
      </x:c>
      <x:c r="I23" s="12" t="str"/>
    </x:row>
    <x:row r="24" ht="21.600000381469727" hidden="0" customHeight="1">
      <x:c r="A24" s="12" t="n">
        <x:v>4009</x:v>
      </x:c>
      <x:c r="B24" s="12" t="str">
        <x:v>탑</x:v>
      </x:c>
      <x:c r="C24" s="12" t="n">
        <x:v>1</x:v>
      </x:c>
      <x:c r="D24" s="12" t="str">
        <x:v>토큰</x:v>
      </x:c>
      <x:c r="E24" s="12"/>
      <x:c r="F24" s="12"/>
      <x:c r="G24" s="12" t="str">
        <x:v>질문 필요</x:v>
      </x:c>
      <x:c r="H24" s="12" t="str">
        <x:v>05 맵 및 레벨 디자인</x:v>
      </x:c>
      <x:c r="I24" s="12" t="str">
        <x:v>즉시 보상 뒤 소멸 시점 질문</x:v>
      </x:c>
    </x:row>
  </x:sheetData>
  <x:mergeCells>
    <x:mergeCell ref="A1:L1"/>
    <x:mergeCell ref="A2:L2"/>
  </x:mergeCells>
  <x:conditionalFormatting sqref="K5:K7">
    <x:cfRule type="containsText" dxfId="80" priority="1" operator="containsText" text="확정"/>
    <x:cfRule type="containsText" dxfId="81" priority="2" operator="containsText" text="임시"/>
    <x:cfRule type="containsText" dxfId="82" priority="3" operator="containsText" text="질문 필요"/>
    <x:cfRule type="containsText" dxfId="83" priority="4" operator="containsText" text="추후 입력"/>
    <x:cfRule type="containsText" dxfId="84" priority="5" operator="containsText" text="보류"/>
  </x:conditionalFormatting>
  <x:conditionalFormatting sqref="F12:F16">
    <x:cfRule type="containsText" dxfId="85" priority="6" operator="containsText" text="확정"/>
    <x:cfRule type="containsText" dxfId="86" priority="7" operator="containsText" text="임시"/>
    <x:cfRule type="containsText" dxfId="87" priority="8" operator="containsText" text="질문 필요"/>
    <x:cfRule type="containsText" dxfId="88" priority="9" operator="containsText" text="추후 입력"/>
    <x:cfRule type="containsText" dxfId="89" priority="10" operator="containsText" text="보류"/>
  </x:conditionalFormatting>
  <x:conditionalFormatting sqref="G21:G24">
    <x:cfRule type="containsText" dxfId="90" priority="11" operator="containsText" text="확정"/>
    <x:cfRule type="containsText" dxfId="91" priority="12" operator="containsText" text="임시"/>
    <x:cfRule type="containsText" dxfId="92" priority="13" operator="containsText" text="질문 필요"/>
    <x:cfRule type="containsText" dxfId="93" priority="14" operator="containsText" text="추후 입력"/>
    <x:cfRule type="containsText" dxfId="94" priority="15" operator="containsText" text="보류"/>
  </x:conditionalFormatting>
  <x:dataValidations count="3">
    <x:dataValidation type="list" sqref="K5:K7">
      <x:formula1>"확정,임시,질문 필요,추후 입력,보류"</x:formula1>
    </x:dataValidation>
    <x:dataValidation type="list" sqref="F12:F16">
      <x:formula1>"확정,임시,질문 필요,추후 입력,보류"</x:formula1>
    </x:dataValidation>
    <x:dataValidation type="list" sqref="G21:G24">
      <x:formula1>"확정,임시,질문 필요,추후 입력,보류"</x:formula1>
    </x:dataValidation>
  </x:dataValidations>
  <x:pageMargins left="0.7" right="0.7" top="0.75" bottom="0.75" header="0.3" footer="0.3"/>
  <x:tableParts count="3">
    <x:tablePart xmlns:r="http://schemas.openxmlformats.org/officeDocument/2006/relationships" r:id="R0b0941ceb01d4bd4"/>
    <x:tablePart xmlns:r="http://schemas.openxmlformats.org/officeDocument/2006/relationships" r:id="R1e31d681729c4667"/>
    <x:tablePart xmlns:r="http://schemas.openxmlformats.org/officeDocument/2006/relationships" r:id="Re8a7ec9ec3344608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14" hidden="0" customWidth="1"/>
    <x:col min="4" max="4" width="18" hidden="0" customWidth="1"/>
    <x:col min="5" max="5" width="14" hidden="0" customWidth="1"/>
    <x:col min="6" max="6" width="18" hidden="0" customWidth="1"/>
    <x:col min="7" max="7" width="18" hidden="0" customWidth="1"/>
    <x:col min="8" max="8" width="14" hidden="0" customWidth="1"/>
    <x:col min="9" max="9" width="20" hidden="0" customWidth="1"/>
    <x:col min="10" max="10" width="14" hidden="0" customWidth="1"/>
    <x:col min="11" max="11" width="14" hidden="0" customWidth="1"/>
    <x:col min="12" max="12" width="34" hidden="0" customWidth="1"/>
  </x:cols>
  <x:sheetData>
    <x:row r="1" ht="19.200000762939453" hidden="0" customHeight="1">
      <x:c r="A1" s="3" t="str">
        <x:v>Artifact — 유물 데이터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15" hidden="0" customHeight="1">
      <x:c r="A2" s="7" t="str">
        <x:v>한 판에 2개가 생성되고 같은 유물 중복이 가능합니다. 기능 흐름은 13 유물 기획을 기준으로 합니다.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3"/>
    <x:row r="4" ht="15" hidden="0" customHeight="1">
      <x:c r="A4" s="14" t="str">
        <x:v>ID</x:v>
      </x:c>
      <x:c r="B4" s="14" t="str">
        <x:v>유물</x:v>
      </x:c>
      <x:c r="C4" s="14" t="str">
        <x:v>수치 1</x:v>
      </x:c>
      <x:c r="D4" s="14" t="str">
        <x:v>단위 1</x:v>
      </x:c>
      <x:c r="E4" s="14" t="str">
        <x:v>수치 2</x:v>
      </x:c>
      <x:c r="F4" s="14" t="str">
        <x:v>단위 2</x:v>
      </x:c>
      <x:c r="G4" s="14" t="str">
        <x:v>범위</x:v>
      </x:c>
      <x:c r="H4" s="14" t="str">
        <x:v>중복</x:v>
      </x:c>
      <x:c r="I4" s="14" t="str">
        <x:v>토큰 제한</x:v>
      </x:c>
      <x:c r="J4" s="14" t="str">
        <x:v>상태</x:v>
      </x:c>
      <x:c r="K4" s="14" t="str">
        <x:v>기준 문서</x:v>
      </x:c>
      <x:c r="L4" s="14" t="str">
        <x:v>메모</x:v>
      </x:c>
    </x:row>
    <x:row r="5" ht="15" hidden="0" customHeight="1">
      <x:c r="A5" s="12" t="n">
        <x:v>8000</x:v>
      </x:c>
      <x:c r="B5" s="12" t="str">
        <x:v>펜타곤</x:v>
      </x:c>
      <x:c r="C5" s="12" t="n">
        <x:v>5</x:v>
      </x:c>
      <x:c r="D5" s="12" t="str">
        <x:v>센터 최대 수</x:v>
      </x:c>
      <x:c r="E5" s="12" t="n">
        <x:v>50</x:v>
      </x:c>
      <x:c r="F5" s="12" t="str">
        <x:v>이전 광물</x:v>
      </x:c>
      <x:c r="G5" s="12"/>
      <x:c r="H5" s="12" t="str">
        <x:v>질문 필요</x:v>
      </x:c>
      <x:c r="I5" s="12"/>
      <x:c r="J5" s="12" t="str">
        <x:v>확정</x:v>
      </x:c>
      <x:c r="K5" s="12" t="str">
        <x:v>13 유물 기획</x:v>
      </x:c>
      <x:c r="L5" s="12" t="str"/>
    </x:row>
    <x:row r="6" ht="15" hidden="0" customHeight="1">
      <x:c r="A6" s="12" t="n">
        <x:v>8001</x:v>
      </x:c>
      <x:c r="B6" s="12" t="str">
        <x:v>버스터 콜</x:v>
      </x:c>
      <x:c r="C6" s="12" t="n">
        <x:v>6</x:v>
      </x:c>
      <x:c r="D6" s="12" t="str">
        <x:v>지름 타일</x:v>
      </x:c>
      <x:c r="E6" s="12"/>
      <x:c r="F6" s="12"/>
      <x:c r="G6" s="12" t="str">
        <x:v>유대 활성화</x:v>
      </x:c>
      <x:c r="H6" s="12" t="str">
        <x:v>질문 필요</x:v>
      </x:c>
      <x:c r="I6" s="12"/>
      <x:c r="J6" s="12" t="str">
        <x:v>확정</x:v>
      </x:c>
      <x:c r="K6" s="12" t="str">
        <x:v>13 유물 기획</x:v>
      </x:c>
      <x:c r="L6" s="12" t="str">
        <x:v>블레이드 제외</x:v>
      </x:c>
    </x:row>
    <x:row r="7" ht="15" hidden="0" customHeight="1">
      <x:c r="A7" s="12" t="n">
        <x:v>8002</x:v>
      </x:c>
      <x:c r="B7" s="12" t="str">
        <x:v>태풍의 눈</x:v>
      </x:c>
      <x:c r="C7" s="12"/>
      <x:c r="D7" s="12" t="str">
        <x:v>감속률</x:v>
      </x:c>
      <x:c r="E7" s="12"/>
      <x:c r="F7" s="12"/>
      <x:c r="G7" s="12" t="str">
        <x:v>트랙 전체</x:v>
      </x:c>
      <x:c r="H7" s="12" t="str">
        <x:v>질문 필요</x:v>
      </x:c>
      <x:c r="I7" s="12"/>
      <x:c r="J7" s="12" t="str">
        <x:v>질문 필요</x:v>
      </x:c>
      <x:c r="K7" s="12" t="str">
        <x:v>13 유물 기획</x:v>
      </x:c>
      <x:c r="L7" s="12" t="str"/>
    </x:row>
    <x:row r="8" ht="15" hidden="0" customHeight="1">
      <x:c r="A8" s="12" t="n">
        <x:v>8003</x:v>
      </x:c>
      <x:c r="B8" s="12" t="str">
        <x:v>영역 전개</x:v>
      </x:c>
      <x:c r="C8" s="12"/>
      <x:c r="D8" s="12"/>
      <x:c r="E8" s="12"/>
      <x:c r="F8" s="12"/>
      <x:c r="G8" s="12" t="str">
        <x:v>러너 중심</x:v>
      </x:c>
      <x:c r="H8" s="12" t="str">
        <x:v>질문 필요</x:v>
      </x:c>
      <x:c r="I8" s="12"/>
      <x:c r="J8" s="12" t="str">
        <x:v>확정</x:v>
      </x:c>
      <x:c r="K8" s="12" t="str">
        <x:v>13 유물 기획</x:v>
      </x:c>
      <x:c r="L8" s="12" t="str">
        <x:v>방벽으로 성소 소환</x:v>
      </x:c>
    </x:row>
    <x:row r="9" ht="15" hidden="0" customHeight="1">
      <x:c r="A9" s="12" t="n">
        <x:v>8004</x:v>
      </x:c>
      <x:c r="B9" s="12" t="str">
        <x:v>등골 교환</x:v>
      </x:c>
      <x:c r="C9" s="12" t="n">
        <x:v>30</x:v>
      </x:c>
      <x:c r="D9" s="12" t="str">
        <x:v>HP 회복</x:v>
      </x:c>
      <x:c r="E9" s="12" t="n">
        <x:v>10</x:v>
      </x:c>
      <x:c r="F9" s="12" t="str">
        <x:v>초</x:v>
      </x:c>
      <x:c r="G9" s="12" t="str">
        <x:v>러너</x:v>
      </x:c>
      <x:c r="H9" s="12" t="str">
        <x:v>질문 필요</x:v>
      </x:c>
      <x:c r="I9" s="12"/>
      <x:c r="J9" s="12" t="str">
        <x:v>확정</x:v>
      </x:c>
      <x:c r="K9" s="12" t="str">
        <x:v>13 유물 기획</x:v>
      </x:c>
      <x:c r="L9" s="12" t="str">
        <x:v>각성+무적</x:v>
      </x:c>
    </x:row>
    <x:row r="10" ht="15" hidden="0" customHeight="1">
      <x:c r="A10" s="12" t="n">
        <x:v>8005</x:v>
      </x:c>
      <x:c r="B10" s="12" t="str">
        <x:v>배송 로켓</x:v>
      </x:c>
      <x:c r="C10" s="12"/>
      <x:c r="D10" s="12" t="str">
        <x:v>지속 증가율</x:v>
      </x:c>
      <x:c r="E10" s="12"/>
      <x:c r="F10" s="12" t="str">
        <x:v>피해 증가율</x:v>
      </x:c>
      <x:c r="G10" s="12" t="str">
        <x:v>전역</x:v>
      </x:c>
      <x:c r="H10" s="12" t="str">
        <x:v>질문 필요</x:v>
      </x:c>
      <x:c r="I10" s="12"/>
      <x:c r="J10" s="12" t="str">
        <x:v>질문 필요</x:v>
      </x:c>
      <x:c r="K10" s="12" t="str">
        <x:v>13 유물 기획</x:v>
      </x:c>
      <x:c r="L10" s="12" t="str">
        <x:v>즉시 사용·장착</x:v>
      </x:c>
    </x:row>
    <x:row r="11" ht="15" hidden="0" customHeight="1">
      <x:c r="A11" s="12" t="n">
        <x:v>8006</x:v>
      </x:c>
      <x:c r="B11" s="12" t="str">
        <x:v>스위치</x:v>
      </x:c>
      <x:c r="C11" s="21" t="n">
        <x:v>0.1</x:v>
      </x:c>
      <x:c r="D11" s="12" t="str">
        <x:v>타워 피해 비율</x:v>
      </x:c>
      <x:c r="E11" s="21" t="n">
        <x:v>0.2</x:v>
      </x:c>
      <x:c r="F11" s="12" t="str">
        <x:v>무기 피해 비율</x:v>
      </x:c>
      <x:c r="G11" s="12" t="str">
        <x:v>전역</x:v>
      </x:c>
      <x:c r="H11" s="12" t="str">
        <x:v>질문 필요</x:v>
      </x:c>
      <x:c r="I11" s="12"/>
      <x:c r="J11" s="12" t="str">
        <x:v>확정</x:v>
      </x:c>
      <x:c r="K11" s="12" t="str">
        <x:v>13 유물 기획</x:v>
      </x:c>
      <x:c r="L11" s="12" t="str">
        <x:v>역할 교환</x:v>
      </x:c>
    </x:row>
    <x:row r="12" ht="15" hidden="0" customHeight="1">
      <x:c r="A12" s="12" t="n">
        <x:v>8007</x:v>
      </x:c>
      <x:c r="B12" s="12" t="str">
        <x:v>불씨앗</x:v>
      </x:c>
      <x:c r="C12" s="12"/>
      <x:c r="D12" s="12" t="str">
        <x:v>화염 증가율</x:v>
      </x:c>
      <x:c r="E12" s="12" t="n">
        <x:v>1</x:v>
      </x:c>
      <x:c r="F12" s="12" t="str">
        <x:v>부활 횟수</x:v>
      </x:c>
      <x:c r="G12" s="12" t="str">
        <x:v>전역</x:v>
      </x:c>
      <x:c r="H12" s="12" t="str">
        <x:v>질문 필요</x:v>
      </x:c>
      <x:c r="I12" s="12"/>
      <x:c r="J12" s="12" t="str">
        <x:v>질문 필요</x:v>
      </x:c>
      <x:c r="K12" s="12" t="str">
        <x:v>13 유물 기획</x:v>
      </x:c>
      <x:c r="L12" s="12" t="str"/>
    </x:row>
    <x:row r="13" ht="15" hidden="0" customHeight="1">
      <x:c r="A13" s="12" t="n">
        <x:v>8008</x:v>
      </x:c>
      <x:c r="B13" s="12" t="str">
        <x:v>냉전</x:v>
      </x:c>
      <x:c r="C13" s="12"/>
      <x:c r="D13" s="12" t="str">
        <x:v>냉병기 증가율</x:v>
      </x:c>
      <x:c r="E13" s="21" t="n">
        <x:v>0.25</x:v>
      </x:c>
      <x:c r="F13" s="12" t="str">
        <x:v>빙결 확률</x:v>
      </x:c>
      <x:c r="G13" s="12" t="str">
        <x:v>유대 활성화</x:v>
      </x:c>
      <x:c r="H13" s="12" t="str">
        <x:v>질문 필요</x:v>
      </x:c>
      <x:c r="I13" s="12" t="str">
        <x:v>일반 상품 비활성</x:v>
      </x:c>
      <x:c r="J13" s="12" t="str">
        <x:v>질문 필요</x:v>
      </x:c>
      <x:c r="K13" s="12" t="str">
        <x:v>13 유물 기획</x:v>
      </x:c>
      <x:c r="L13" s="12" t="str"/>
    </x:row>
    <x:row r="14" ht="15" hidden="0" customHeight="1">
      <x:c r="A14" s="12" t="n">
        <x:v>8009</x:v>
      </x:c>
      <x:c r="B14" s="12" t="str">
        <x:v>먹구름</x:v>
      </x:c>
      <x:c r="C14" s="12"/>
      <x:c r="D14" s="12" t="str">
        <x:v>전격·확산 증가율</x:v>
      </x:c>
      <x:c r="E14" s="12"/>
      <x:c r="F14" s="12" t="str">
        <x:v>총탄 증가율</x:v>
      </x:c>
      <x:c r="G14" s="12" t="str">
        <x:v>유대 활성화</x:v>
      </x:c>
      <x:c r="H14" s="12" t="str">
        <x:v>질문 필요</x:v>
      </x:c>
      <x:c r="I14" s="12"/>
      <x:c r="J14" s="12" t="str">
        <x:v>질문 필요</x:v>
      </x:c>
      <x:c r="K14" s="12" t="str">
        <x:v>13 유물 기획</x:v>
      </x:c>
      <x:c r="L14" s="12" t="str"/>
    </x:row>
  </x:sheetData>
  <x:mergeCells>
    <x:mergeCell ref="A1:L1"/>
    <x:mergeCell ref="A2:L2"/>
  </x:mergeCells>
  <x:conditionalFormatting sqref="J5:J14">
    <x:cfRule type="containsText" dxfId="95" priority="1" operator="containsText" text="확정"/>
    <x:cfRule type="containsText" dxfId="96" priority="2" operator="containsText" text="임시"/>
    <x:cfRule type="containsText" dxfId="97" priority="3" operator="containsText" text="질문 필요"/>
    <x:cfRule type="containsText" dxfId="98" priority="4" operator="containsText" text="추후 입력"/>
    <x:cfRule type="containsText" dxfId="99" priority="5" operator="containsText" text="보류"/>
  </x:conditionalFormatting>
  <x:dataValidations count="1">
    <x:dataValidation type="list" sqref="J5:J14">
      <x:formula1>"확정,임시,질문 필요,추후 입력,보류"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4350d0ffdef4096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2" hidden="0" customWidth="1"/>
    <x:col min="3" max="3" width="16" hidden="0" customWidth="1"/>
    <x:col min="4" max="4" width="16" hidden="0" customWidth="1"/>
    <x:col min="5" max="5" width="14" hidden="0" customWidth="1"/>
    <x:col min="6" max="6" width="36" hidden="0" customWidth="1"/>
  </x:cols>
  <x:sheetData>
    <x:row r="1" ht="19.200000762939453" hidden="0" customHeight="1">
      <x:c r="A1" s="3" t="str">
        <x:v>Validation — 데이터 점검</x:v>
      </x:c>
      <x:c r="B1" s="3"/>
      <x:c r="C1" s="3"/>
      <x:c r="D1" s="3"/>
      <x:c r="E1" s="3"/>
      <x:c r="F1" s="3"/>
    </x:row>
    <x:row r="2" ht="15" hidden="0" customHeight="1">
      <x:c r="A2" s="7" t="str">
        <x:v>다른 시트의 입력값을 참조하는 점검용 수식입니다. 이 시트의 결과 셀은 직접 수정하지 않습니다.</x:v>
      </x:c>
      <x:c r="B2" s="7"/>
      <x:c r="C2" s="7"/>
      <x:c r="D2" s="7"/>
      <x:c r="E2" s="7"/>
      <x:c r="F2" s="7"/>
    </x:row>
    <x:row r="3"/>
    <x:row r="4" ht="15" hidden="0" customHeight="1">
      <x:c r="A4" s="23" t="str">
        <x:v>검사 ID</x:v>
      </x:c>
      <x:c r="B4" s="23" t="str">
        <x:v>검사 항목</x:v>
      </x:c>
      <x:c r="C4" s="23" t="str">
        <x:v>현재값</x:v>
      </x:c>
      <x:c r="D4" s="23" t="str">
        <x:v>목표/기준</x:v>
      </x:c>
      <x:c r="E4" s="23" t="str">
        <x:v>결과</x:v>
      </x:c>
      <x:c r="F4" s="23" t="str">
        <x:v>설명</x:v>
      </x:c>
    </x:row>
    <x:row r="5" ht="15" hidden="0" customHeight="1">
      <x:c r="A5" s="12" t="str">
        <x:v>CK001</x:v>
      </x:c>
      <x:c r="B5" s="12" t="str">
        <x:v>광물 총량</x:v>
      </x:c>
      <x:c r="C5" s="28" t="n">
        <x:f>'Economy'!I5</x:f>
        <x:v>6600</x:v>
      </x:c>
      <x:c r="D5" s="28" t="n">
        <x:v>6600</x:v>
      </x:c>
      <x:c r="E5" s="12" t="str">
        <x:f>IF(ABS(C5-D5)&lt;0.0001,"정상","확인")</x:f>
        <x:v>정상</x:v>
      </x:c>
      <x:c r="F5" s="12" t="str">
        <x:v>Economy 수식 참조</x:v>
      </x:c>
    </x:row>
    <x:row r="6" ht="15" hidden="0" customHeight="1">
      <x:c r="A6" s="12" t="str">
        <x:v>CK002</x:v>
      </x:c>
      <x:c r="B6" s="12" t="str">
        <x:v>가스 총량</x:v>
      </x:c>
      <x:c r="C6" s="28" t="n">
        <x:f>'Economy'!I6</x:f>
        <x:v>3300</x:v>
      </x:c>
      <x:c r="D6" s="28" t="n">
        <x:v>3300</x:v>
      </x:c>
      <x:c r="E6" s="12" t="str">
        <x:f>IF(ABS(C6-D6)&lt;0.0001,"정상","확인")</x:f>
        <x:v>정상</x:v>
      </x:c>
      <x:c r="F6" s="12" t="str">
        <x:v>Economy 수식 참조</x:v>
      </x:c>
    </x:row>
    <x:row r="7" ht="15" hidden="0" customHeight="1">
      <x:c r="A7" s="12" t="str">
        <x:v>CK003</x:v>
      </x:c>
      <x:c r="B7" s="12" t="str">
        <x:v>광물/가스 총량 비율</x:v>
      </x:c>
      <x:c r="C7" s="31" t="n">
        <x:f>IF(C6=0,"",C5/C6)</x:f>
        <x:v>2</x:v>
      </x:c>
      <x:c r="D7" s="31" t="n">
        <x:v>2</x:v>
      </x:c>
      <x:c r="E7" s="12" t="str">
        <x:f>IF(ABS(C7-D7)&lt;0.0001,"정상","확인")</x:f>
        <x:v>정상</x:v>
      </x:c>
      <x:c r="F7" s="12" t="str">
        <x:v>초기 경제 목표</x:v>
      </x:c>
    </x:row>
    <x:row r="8" ht="15" hidden="0" customHeight="1">
      <x:c r="A8" s="12" t="str">
        <x:v>CK004</x:v>
      </x:c>
      <x:c r="B8" s="12" t="str">
        <x:v>일반 타워 속성 확률 합계</x:v>
      </x:c>
      <x:c r="C8" s="21" t="n">
        <x:f>'Attribute'!H5</x:f>
        <x:v>1</x:v>
      </x:c>
      <x:c r="D8" s="21" t="n">
        <x:v>1</x:v>
      </x:c>
      <x:c r="E8" s="12" t="str">
        <x:f>IF(ABS(C8-D8)&lt;0.0001,"정상","확인")</x:f>
        <x:v>정상</x:v>
      </x:c>
      <x:c r="F8" s="12" t="str">
        <x:v>Attribute 합계</x:v>
      </x:c>
    </x:row>
    <x:row r="9" ht="15" hidden="0" customHeight="1">
      <x:c r="A9" s="12" t="str">
        <x:v>CK005</x:v>
      </x:c>
      <x:c r="B9" s="12" t="str">
        <x:v>블레이드 기본 확률 합계</x:v>
      </x:c>
      <x:c r="C9" s="21" t="n">
        <x:f>'Attribute'!H6</x:f>
        <x:v>0.9999999999999999</x:v>
      </x:c>
      <x:c r="D9" s="21" t="n">
        <x:v>1</x:v>
      </x:c>
      <x:c r="E9" s="12" t="str">
        <x:f>IF(ABS(C9-D9)&lt;0.0001,"정상","확인")</x:f>
        <x:v>정상</x:v>
      </x:c>
      <x:c r="F9" s="12" t="str">
        <x:v>Attribute 합계</x:v>
      </x:c>
    </x:row>
    <x:row r="10" ht="15" hidden="0" customHeight="1">
      <x:c r="A10" s="12" t="str">
        <x:v>CK006</x:v>
      </x:c>
      <x:c r="B10" s="12" t="str">
        <x:v>냉전 블레이드 확률 합계</x:v>
      </x:c>
      <x:c r="C10" s="21" t="n">
        <x:f>'Attribute'!H7</x:f>
        <x:v>1</x:v>
      </x:c>
      <x:c r="D10" s="21" t="n">
        <x:v>1</x:v>
      </x:c>
      <x:c r="E10" s="12" t="str">
        <x:f>IF(ABS(C10-D10)&lt;0.0001,"정상","확인")</x:f>
        <x:v>정상</x:v>
      </x:c>
      <x:c r="F10" s="12" t="str">
        <x:v>Attribute 합계</x:v>
      </x:c>
    </x:row>
  </x:sheetData>
  <x:mergeCells>
    <x:mergeCell ref="A1:F1"/>
    <x:mergeCell ref="A2:F2"/>
  </x:mergeCells>
  <x:conditionalFormatting sqref="E5:E10">
    <x:cfRule type="containsText" dxfId="100" priority="1" operator="containsText" text="정상"/>
    <x:cfRule type="containsText" dxfId="101" priority="2" operator="containsText" text="확인"/>
  </x:conditionalFormatting>
  <x:pageMargins left="0.7" right="0.7" top="0.75" bottom="0.75" header="0.3" footer="0.3"/>
  <x:tableParts count="1">
    <x:tablePart xmlns:r="http://schemas.openxmlformats.org/officeDocument/2006/relationships" r:id="Rb3240b45125e4419"/>
  </x:tableParts>
</x:worksheet>
</file>